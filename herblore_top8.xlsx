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17:29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59374</v>
      </c>
      <c r="F4" s="2">
        <f>IF($G4="","",INDEX(Recipes!$M$2:$M$55,MATCH($G4,Recipes!$R$2:$R$55,0)))</f>
        <v>68715</v>
      </c>
      <c r="G4" s="2">
        <f>IFERROR(LARGE(Recipes!$R$2:$R$55,1),"")</f>
        <v>941.7249999999985</v>
      </c>
      <c r="H4" s="2">
        <f>IF($G4="","",INDEX(Recipes!$Q$2:$Q$55,MATCH($G4,Recipes!$R$2:$R$55,0)))</f>
        <v>2825174.999999996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Extended anti-venom+(4)</v>
      </c>
      <c r="C5" s="2">
        <f>IF($G5="","",INDEX(Recipes!$B$2:$B$55,MATCH($G5,Recipes!$R$2:$R$55,0)))</f>
        <v>94</v>
      </c>
      <c r="D5" s="4">
        <f>IF($G5="","",INDEX(Recipes!$C$2:$C$55,MATCH($G5,Recipes!$R$2:$R$55,0)))</f>
        <v>80</v>
      </c>
      <c r="E5" s="2">
        <f>IF($G5="","",INDEX(Recipes!$L$2:$L$55,MATCH($G5,Recipes!$R$2:$R$55,0)))</f>
        <v>14185.5</v>
      </c>
      <c r="F5" s="2">
        <f>IF($G5="","",INDEX(Recipes!$M$2:$M$55,MATCH($G5,Recipes!$R$2:$R$55,0)))</f>
        <v>18218</v>
      </c>
      <c r="G5" s="2">
        <f>IFERROR(LARGE(Recipes!$R$2:$R$55,2),"")</f>
        <v>867.1499999999996</v>
      </c>
      <c r="H5" s="2">
        <f>IF($G5="","",INDEX(Recipes!$Q$2:$Q$55,MATCH($G5,Recipes!$R$2:$R$55,0)))</f>
        <v>2601449.999999999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Goading potion(4)</v>
      </c>
      <c r="C7" s="2">
        <f>IF($G7="","",INDEX(Recipes!$B$2:$B$55,MATCH($G7,Recipes!$R$2:$R$55,0)))</f>
        <v>54</v>
      </c>
      <c r="D7" s="4">
        <f>IF($G7="","",INDEX(Recipes!$C$2:$C$55,MATCH($G7,Recipes!$R$2:$R$55,0)))</f>
        <v>132</v>
      </c>
      <c r="E7" s="2">
        <f>IF($G7="","",INDEX(Recipes!$L$2:$L$55,MATCH($G7,Recipes!$R$2:$R$55,0)))</f>
        <v>51856</v>
      </c>
      <c r="F7" s="2">
        <f>IF($G7="","",INDEX(Recipes!$M$2:$M$55,MATCH($G7,Recipes!$R$2:$R$55,0)))</f>
        <v>59655</v>
      </c>
      <c r="G7" s="2">
        <f>IFERROR(LARGE(Recipes!$R$2:$R$55,4),"")</f>
        <v>674.5</v>
      </c>
      <c r="H7" s="2">
        <f>IF($G7="","",INDEX(Recipes!$Q$2:$Q$55,MATCH($G7,Recipes!$R$2:$R$55,0)))</f>
        <v>2023500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11921</v>
      </c>
      <c r="F8" s="2">
        <f>IF($G8="","",INDEX(Recipes!$M$2:$M$55,MATCH($G8,Recipes!$R$2:$R$55,0)))</f>
        <v>12034</v>
      </c>
      <c r="G8" s="2">
        <f>IFERROR(LARGE(Recipes!$R$2:$R$55,5),"")</f>
        <v>482.7000000000007</v>
      </c>
      <c r="H8" s="2">
        <f>IF($G8="","",INDEX(Recipes!$Q$2:$Q$55,MATCH($G8,Recipes!$R$2:$R$55,0)))</f>
        <v>1448100.000000002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7126</v>
      </c>
      <c r="F9" s="2">
        <f>IF($G9="","",INDEX(Recipes!$M$2:$M$55,MATCH($G9,Recipes!$R$2:$R$55,0)))</f>
        <v>9351</v>
      </c>
      <c r="G9" s="2">
        <f>IFERROR(LARGE(Recipes!$R$2:$R$55,6),"")</f>
        <v>238.97500000000036</v>
      </c>
      <c r="H9" s="2">
        <f>IF($G9="","",INDEX(Recipes!$Q$2:$Q$55,MATCH($G9,Recipes!$R$2:$R$55,0)))</f>
        <v>716925.000000001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rest(4)</v>
      </c>
      <c r="C10" s="2">
        <f>IF($G10="","",INDEX(Recipes!$B$2:$B$55,MATCH($G10,Recipes!$R$2:$R$55,0)))</f>
        <v>18</v>
      </c>
      <c r="D10" s="4">
        <f>IF($G10="","",INDEX(Recipes!$C$2:$C$55,MATCH($G10,Recipes!$R$2:$R$55,0)))</f>
        <v>59</v>
      </c>
      <c r="E10" s="2">
        <f>IF($G10="","",INDEX(Recipes!$L$2:$L$55,MATCH($G10,Recipes!$R$2:$R$55,0)))</f>
        <v>1915</v>
      </c>
      <c r="F10" s="2">
        <f>IF($G10="","",INDEX(Recipes!$M$2:$M$55,MATCH($G10,Recipes!$R$2:$R$55,0)))</f>
        <v>2804</v>
      </c>
      <c r="G10" s="2">
        <f>IFERROR(LARGE(Recipes!$R$2:$R$55,7),"")</f>
        <v>160.5</v>
      </c>
      <c r="H10" s="2">
        <f>IF($G10="","",INDEX(Recipes!$Q$2:$Q$55,MATCH($G10,Recipes!$R$2:$R$55,0)))</f>
        <v>963000</v>
      </c>
      <c r="I10" s="5"/>
      <c r="J10" s="2"/>
    </row>
    <row r="11">
      <c r="A11" s="2">
        <v>8</v>
      </c>
      <c r="B11" s="0" t="str">
        <f>IF($G11="","",INDEX(Recipes!$A$2:$A$55,MATCH($G11,Recipes!$R$2:$R$55,0)))</f>
        <v>Battlemage potion(4)</v>
      </c>
      <c r="C11" s="2">
        <f>IF($G11="","",INDEX(Recipes!$B$2:$B$55,MATCH($G11,Recipes!$R$2:$R$55,0)))</f>
        <v>80</v>
      </c>
      <c r="D11" s="4">
        <f>IF($G11="","",INDEX(Recipes!$C$2:$C$55,MATCH($G11,Recipes!$R$2:$R$55,0)))</f>
        <v>155</v>
      </c>
      <c r="E11" s="2">
        <f>IF($G11="","",INDEX(Recipes!$L$2:$L$55,MATCH($G11,Recipes!$R$2:$R$55,0)))</f>
        <v>10848</v>
      </c>
      <c r="F11" s="2">
        <f>IF($G11="","",INDEX(Recipes!$M$2:$M$55,MATCH($G11,Recipes!$R$2:$R$55,0)))</f>
        <v>13198</v>
      </c>
      <c r="G11" s="2">
        <f>IFERROR(LARGE(Recipes!$R$2:$R$55,8),"")</f>
        <v>115.77499999999964</v>
      </c>
      <c r="H11" s="2">
        <f>IF($G11="","",INDEX(Recipes!$Q$2:$Q$55,MATCH($G11,Recipes!$R$2:$R$55,0)))</f>
        <v>347324.9999999989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301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5</v>
      </c>
      <c r="P2" s="2">
        <f>IF(OR($L2="",$M2=""),"",(3+0.15*'Top 8'!$J$4)*($M2+$N2)/6-($L2-0.1*'Top 8'!$J$5*$O2))</f>
        <v>-290.525</v>
      </c>
      <c r="Q2" s="2">
        <f>IF($P2="","",$P2*3000)</f>
        <v>-871574.9999999999</v>
      </c>
      <c r="R2" s="5">
        <f>IF($P2="","",$P2+ROW()/1000000)</f>
        <v>-290.524997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933</v>
      </c>
      <c r="M3" s="2">
        <f>IFERROR(VLOOKUP($A3,Prices!$A$2:$D$174,4,0),"")</f>
        <v>446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694</v>
      </c>
      <c r="P3" s="2">
        <f>IF(OR($L3="",$M3=""),"",(3+0.15*'Top 8'!$J$4)*($M3+$N3)/6-($L3-0.1*'Top 8'!$J$5*$O3))</f>
        <v>-507.65000000000003</v>
      </c>
      <c r="Q3" s="2">
        <f>IF($P3="","",$P3*3000)</f>
        <v>-1522950</v>
      </c>
      <c r="R3" s="5">
        <f>IF($P3="","",$P3+ROW()/1000000)</f>
        <v>-507.64999600000004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708</v>
      </c>
      <c r="M4" s="2">
        <f>IFERROR(VLOOKUP($A4,Prices!$A$2:$D$174,4,0),"")</f>
        <v>107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224</v>
      </c>
      <c r="P4" s="2">
        <f>IF(OR($L4="",$M4=""),"",(3+0.15*'Top 8'!$J$4)*($M4+$N4)/6-($L4-0.1*'Top 8'!$J$5*$O4))</f>
        <v>-606.85</v>
      </c>
      <c r="Q4" s="2">
        <f>IF($P4="","",$P4*3000)</f>
        <v>-1820550</v>
      </c>
      <c r="R4" s="5">
        <f>IF($P4="","",$P4+ROW()/1000000)</f>
        <v>-606.849995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518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34</v>
      </c>
      <c r="P5" s="2">
        <f>IF(OR($L5="",$M5=""),"",(3+0.15*'Top 8'!$J$4)*($M5+$N5)/6-($L5-0))</f>
        <v>-495.425</v>
      </c>
      <c r="Q5" s="2">
        <f>IF($P5="","",$P5*3000)</f>
        <v>-1486275</v>
      </c>
      <c r="R5" s="5">
        <f>IF($P5="","",$P5+ROW()/1000000)</f>
        <v>-495.424994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1915</v>
      </c>
      <c r="M6" s="2">
        <f>IFERROR(VLOOKUP($A6,Prices!$A$2:$D$174,4,0),"")</f>
        <v>2804</v>
      </c>
      <c r="N6" s="2">
        <f>IF(ISNUMBER(SEARCH("(4)",$A6)),IFERROR(VLOOKUP(SUBSTITUTE($A6,"(4)","(2)"),Prices!$A$2:$D$174,4,0),""),"")</f>
        <v>1283</v>
      </c>
      <c r="O6" s="2">
        <f>IFERROR((IF($J6="","",VLOOKUP($J6,Prices!$A$2:$D$174,3,0))*$K6),"")</f>
        <v>320</v>
      </c>
      <c r="P6" s="2">
        <f>IF(OR($L6="",$M6=""),"",($M6+$N6)/2-($L6-0.1*'Top 8'!$J$5*$O6))</f>
        <v>160.5</v>
      </c>
      <c r="Q6" s="2">
        <f>IF($P6="","",$P6*6000)</f>
        <v>963000</v>
      </c>
      <c r="R6" s="5">
        <f>IF($P6="","",$P6+ROW()/1000000)</f>
        <v>160.500007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700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158</v>
      </c>
      <c r="P7" s="2">
        <f>IF(OR($L7="",$M7=""),"",(3+0.15*'Top 8'!$J$4)*($M7+$N7)/6-($L7-0.1*'Top 8'!$J$5*$O7))</f>
        <v>-667.4000000000001</v>
      </c>
      <c r="Q7" s="2">
        <f>IF($P7="","",$P7*3000)</f>
        <v>-2002200.0000000002</v>
      </c>
      <c r="R7" s="5">
        <f>IF($P7="","",$P7+ROW()/1000000)</f>
        <v>-667.3999920000001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728</v>
      </c>
      <c r="M8" s="2">
        <f>IFERROR(VLOOKUP($A8,Prices!$A$2:$D$174,4,0),"")</f>
        <v>55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186</v>
      </c>
      <c r="P8" s="2">
        <f>IF(OR($L8="",$M8=""),"",(3+0.15*'Top 8'!$J$4)*($M8+$N8)/6-($L8-0.1*'Top 8'!$J$5*$O8))</f>
        <v>-657.425</v>
      </c>
      <c r="Q8" s="2">
        <f>IF($P8="","",$P8*3000)</f>
        <v>-1972274.9999999998</v>
      </c>
      <c r="R8" s="5">
        <f>IF($P8="","",$P8+ROW()/1000000)</f>
        <v>-657.424991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816</v>
      </c>
      <c r="M9" s="2">
        <f>IFERROR(VLOOKUP($A9,Prices!$A$2:$D$174,4,0),"")</f>
        <v>1087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774</v>
      </c>
      <c r="P9" s="2">
        <f>IF(OR($L9="",$M9=""),"",(3+0.15*'Top 8'!$J$4)*($M9+$N9)/6-($L9-0.1*'Top 8'!$J$5*$O9))</f>
        <v>100.875</v>
      </c>
      <c r="Q9" s="2">
        <f>IF($P9="","",$P9*3000)</f>
        <v>302625</v>
      </c>
      <c r="R9" s="5">
        <f>IF($P9="","",$P9+ROW()/1000000)</f>
        <v>100.87501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600</v>
      </c>
      <c r="M10" s="2">
        <f>IFERROR(VLOOKUP($A10,Prices!$A$2:$D$174,4,0),"")</f>
        <v>172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58</v>
      </c>
      <c r="P10" s="2">
        <f>IF(OR($L10="",$M10=""),"",(3+0.15*'Top 8'!$J$4)*($M10+$N10)/6-($L10-0.1*'Top 8'!$J$5*$O10))</f>
        <v>-459.80000000000007</v>
      </c>
      <c r="Q10" s="2">
        <f>IF($P10="","",$P10*3000)</f>
        <v>-1379400.0000000002</v>
      </c>
      <c r="R10" s="5">
        <f>IF($P10="","",$P10+ROW()/1000000)</f>
        <v>-459.7999890000001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6854</v>
      </c>
      <c r="M11" s="2">
        <f>IFERROR(VLOOKUP($A11,Prices!$A$2:$D$174,4,0),"")</f>
        <v>552</v>
      </c>
      <c r="N11" s="2">
        <f>IF(ISNUMBER(SEARCH("(4)",$A11)),IFERROR(VLOOKUP(SUBSTITUTE($A11,"(4)","(2)"),Prices!$A$2:$D$174,4,0),""),"")</f>
        <v>350</v>
      </c>
      <c r="O11" s="2">
        <f>IFERROR((IF($F11="","",VLOOKUP($F11,Prices!$A$2:$D$174,3,0))*$G11),"")</f>
        <v>681</v>
      </c>
      <c r="P11" s="2">
        <f>IF(OR($L11="",$M11=""),"",(3+0.15*'Top 8'!$J$4)*($M11+$N11)/6-($L11-0.1*'Top 8'!$J$5*$O11))</f>
        <v>-6312.349999999999</v>
      </c>
      <c r="Q11" s="2">
        <f>IF($P11="","",$P11*3000)</f>
        <v>-18937050</v>
      </c>
      <c r="R11" s="5">
        <f>IF($P11="","",$P11+ROW()/1000000)</f>
        <v>-6312.349987999999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2915</v>
      </c>
      <c r="M12" s="2">
        <f>IFERROR(VLOOKUP($A12,Prices!$A$2:$D$174,4,0),"")</f>
        <v>334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325</v>
      </c>
      <c r="P12" s="2">
        <f>IF(OR($L12="",$M12=""),"",(3+0.15*'Top 8'!$J$4)*($M12+$N12)/6-($L12-0.1*'Top 8'!$J$5*$O12))</f>
        <v>-2599</v>
      </c>
      <c r="Q12" s="2">
        <f>IF($P12="","",$P12*3000)</f>
        <v>-7797000</v>
      </c>
      <c r="R12" s="5">
        <f>IF($P12="","",$P12+ROW()/1000000)</f>
        <v>-2598.999987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676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163</v>
      </c>
      <c r="O13" s="2">
        <f>IFERROR((IF($F13="","",VLOOKUP($F13,Prices!$A$2:$D$174,3,0))*$G13),"")</f>
        <v>134</v>
      </c>
      <c r="P13" s="2">
        <f>IF(OR($L13="",$M13=""),"",(3+0.15*'Top 8'!$J$4)*($M13+$N13)/6-($L13-0.1*'Top 8'!$J$5*$O13))</f>
        <v>-495.125</v>
      </c>
      <c r="Q13" s="2">
        <f>IF($P13="","",$P13*3000)</f>
        <v>-1485375</v>
      </c>
      <c r="R13" s="5">
        <f>IF($P13="","",$P13+ROW()/1000000)</f>
        <v>-495.124986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7126</v>
      </c>
      <c r="M14" s="2">
        <f>IFERROR(VLOOKUP($A14,Prices!$A$2:$D$174,4,0),"")</f>
        <v>9351</v>
      </c>
      <c r="N14" s="2">
        <f>IF(ISNUMBER(SEARCH("(4)",$A14)),IFERROR(VLOOKUP(SUBSTITUTE($A14,"(4)","(2)"),Prices!$A$2:$D$174,4,0),""),"")</f>
        <v>4496</v>
      </c>
      <c r="O14" s="2">
        <f>IFERROR((IF($F14="","",VLOOKUP($F14,Prices!$A$2:$D$174,3,0))*$G14),"")</f>
        <v>953</v>
      </c>
      <c r="P14" s="2">
        <f>IF(OR($L14="",$M14=""),"",(3+0.15*'Top 8'!$J$4)*($M14+$N14)/6-($L14-0.1*'Top 8'!$J$5*$O14))</f>
        <v>238.97500000000036</v>
      </c>
      <c r="Q14" s="2">
        <f>IF($P14="","",$P14*3000)</f>
        <v>716925.000000001</v>
      </c>
      <c r="R14" s="5">
        <f>IF($P14="","",$P14+ROW()/1000000)</f>
        <v>238.97501500000035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1736</v>
      </c>
      <c r="M15" s="2">
        <f>IFERROR(VLOOKUP($A15,Prices!$A$2:$D$174,4,0),"")</f>
        <v>1906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5</v>
      </c>
      <c r="P15" s="2">
        <f>IF(OR($L15="",$M15=""),"",(3+0.15*'Top 8'!$J$4)*($M15+$N15)/6-($L15-0.1*'Top 8'!$J$5*$O15))</f>
        <v>-259.20000000000005</v>
      </c>
      <c r="Q15" s="2">
        <f>IF($P15="","",$P15*3000)</f>
        <v>-777600.0000000001</v>
      </c>
      <c r="R15" s="5">
        <f>IF($P15="","",$P15+ROW()/1000000)</f>
        <v>-259.19998400000003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2425</v>
      </c>
      <c r="M16" s="2">
        <f>IFERROR(VLOOKUP($A16,Prices!$A$2:$D$174,4,0),"")</f>
        <v>1368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694</v>
      </c>
      <c r="P16" s="2">
        <f>IF(OR($L16="",$M16=""),"",(3+0.15*'Top 8'!$J$4)*($M16+$N16)/6-($L16-0.1*'Top 8'!$J$5*$O16))</f>
        <v>-1283.55</v>
      </c>
      <c r="Q16" s="2">
        <f>IF($P16="","",$P16*3000)</f>
        <v>-3850650</v>
      </c>
      <c r="R16" s="5">
        <f>IF($P16="","",$P16+ROW()/1000000)</f>
        <v>-1283.5499829999999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3420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953</v>
      </c>
      <c r="P17" s="2">
        <f>IF(OR($L17="",$M17=""),"",(3+0.15*'Top 8'!$J$4)*($M17+$N17)/6-($L17-0.1*'Top 8'!$J$5*$O17))</f>
        <v>-3241.75</v>
      </c>
      <c r="Q17" s="2">
        <f>IF($P17="","",$P17*3000)</f>
        <v>-9725250</v>
      </c>
      <c r="R17" s="5">
        <f>IF($P17="","",$P17+ROW()/1000000)</f>
        <v>-3241.749982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2694</v>
      </c>
      <c r="M18" s="2">
        <f>IFERROR(VLOOKUP($A18,Prices!$A$2:$D$174,4,0),"")</f>
        <v>2499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227</v>
      </c>
      <c r="P18" s="2">
        <f>IF(OR($L18="",$M18=""),"",(3+0.15*'Top 8'!$J$4)*($M18+$N18)/6-($L18-0.1*'Top 8'!$J$5*$O18))</f>
        <v>-454.75000000000045</v>
      </c>
      <c r="Q18" s="2">
        <f>IF($P18="","",$P18*3000)</f>
        <v>-1364250.0000000014</v>
      </c>
      <c r="R18" s="5">
        <f>IF($P18="","",$P18+ROW()/1000000)</f>
        <v>-454.74998100000045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3251</v>
      </c>
      <c r="M19" s="2">
        <f>IFERROR(VLOOKUP($A19,Prices!$A$2:$D$174,4,0),"")</f>
        <v>547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784</v>
      </c>
      <c r="P19" s="2">
        <f>IF(OR($L19="",$M19=""),"",(3+0.15*'Top 8'!$J$4)*($M19+$N19)/6-($L19-0.1*'Top 8'!$J$5*$O19))</f>
        <v>-2279.575</v>
      </c>
      <c r="Q19" s="2">
        <f>IF($P19="","",$P19*3000)</f>
        <v>-6838724.999999999</v>
      </c>
      <c r="R19" s="5">
        <f>IF($P19="","",$P19+ROW()/1000000)</f>
        <v>-2279.57498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51856</v>
      </c>
      <c r="M20" s="2">
        <f>IFERROR(VLOOKUP($A20,Prices!$A$2:$D$174,4,0),"")</f>
        <v>59655</v>
      </c>
      <c r="N20" s="2">
        <f>IF(ISNUMBER(SEARCH("(4)",$A20)),IFERROR(VLOOKUP(SUBSTITUTE($A20,"(4)","(2)"),Prices!$A$2:$D$174,4,0),""),"")</f>
        <v>30629</v>
      </c>
      <c r="O20" s="2">
        <f>IFERROR((IF($F20="","",VLOOKUP($F20,Prices!$A$2:$D$174,3,0))*$G20),"")</f>
        <v>51314</v>
      </c>
      <c r="P20" s="2">
        <f>IF(OR($L20="",$M20=""),"",(3+0.15*'Top 8'!$J$4)*($M20+$N20)/6-($L20-0.1*'Top 8'!$J$5*$O20))</f>
        <v>674.5</v>
      </c>
      <c r="Q20" s="2">
        <f>IF($P20="","",$P20*3000)</f>
        <v>2023500</v>
      </c>
      <c r="R20" s="5">
        <f>IF($P20="","",$P20+ROW()/1000000)</f>
        <v>674.500021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2834</v>
      </c>
      <c r="M21" s="2">
        <f>IFERROR(VLOOKUP($A21,Prices!$A$2:$D$174,4,0),"")</f>
        <v>2990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224</v>
      </c>
      <c r="P21" s="2">
        <f>IF(OR($L21="",$M21=""),"",(3+0.15*'Top 8'!$J$4)*($M21+$N21)/6-($L21-0.1*'Top 8'!$J$5*$O21))</f>
        <v>-480.0750000000003</v>
      </c>
      <c r="Q21" s="2">
        <f>IF($P21="","",$P21*3000)</f>
        <v>-1440225.000000001</v>
      </c>
      <c r="R21" s="5">
        <f>IF($P21="","",$P21+ROW()/1000000)</f>
        <v>-480.07497800000027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59374</v>
      </c>
      <c r="M24" s="2">
        <f>IFERROR(VLOOKUP($A24,Prices!$A$2:$D$174,4,0),"")</f>
        <v>68715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51314</v>
      </c>
      <c r="P24" s="2">
        <f>IF(OR($L24="",$M24=""),"",(3+0.15*'Top 8'!$J$4)*($M24+$N24)/6-($L24-0.1*'Top 8'!$J$5*$O24))</f>
        <v>941.7249999999985</v>
      </c>
      <c r="Q24" s="2">
        <f>IF($P24="","",$P24*3000)</f>
        <v>2825174.999999996</v>
      </c>
      <c r="R24" s="5">
        <f>IF($P24="","",$P24+ROW()/1000000)</f>
        <v>941.7250249999986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2681</v>
      </c>
      <c r="M25" s="2">
        <f>IFERROR(VLOOKUP($A25,Prices!$A$2:$D$174,4,0),"")</f>
        <v>286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71</v>
      </c>
      <c r="P25" s="2">
        <f>IF(OR($L25="",$M25=""),"",$M25-($L25-0.1*'Top 8'!$J$5*$O25))</f>
        <v>-2387.9</v>
      </c>
      <c r="Q25" s="2">
        <f>IF($P25="","",$P25*3000)</f>
        <v>-7163700</v>
      </c>
      <c r="R25" s="5">
        <f>IF($P25="","",$P25+ROW()/1000000)</f>
        <v>-2387.899974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1785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-677.575</v>
      </c>
      <c r="Q26" s="2">
        <f>IF($P26="","",$P26*3000)</f>
        <v>-2032725.0000000002</v>
      </c>
      <c r="R26" s="5">
        <f>IF($P26="","",$P26+ROW()/1000000)</f>
        <v>-677.574973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8086</v>
      </c>
      <c r="M27" s="2">
        <f>IFERROR(VLOOKUP($A27,Prices!$A$2:$D$174,4,0),"")</f>
        <v>9811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186</v>
      </c>
      <c r="P27" s="2">
        <f>IF(OR($L27="",$M27=""),"",(3+0.15*'Top 8'!$J$4)*($M27+$N27)/6-($L27-0.1*'Top 8'!$J$5*$O27))</f>
        <v>-402.39999999999964</v>
      </c>
      <c r="Q27" s="2">
        <f>IF($P27="","",$P27*3000)</f>
        <v>-1207199.9999999988</v>
      </c>
      <c r="R27" s="5">
        <f>IF($P27="","",$P27+ROW()/1000000)</f>
        <v>-402.39997199999965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18910</v>
      </c>
      <c r="N28" s="2">
        <f>IF(ISNUMBER(SEARCH("(4)",$A28)),IFERROR(VLOOKUP(SUBSTITUTE($A28,"(4)","(2)"),Prices!$A$2:$D$174,4,0),""),"")</f>
        <v>8259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2472.75</v>
      </c>
      <c r="M29" s="2">
        <f>IFERROR(VLOOKUP($A29,Prices!$A$2:$D$174,4,0),"")</f>
        <v>2180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-48.375</v>
      </c>
      <c r="Q29" s="2">
        <f>IF($P29="","",$P29*3000)</f>
        <v>-145125</v>
      </c>
      <c r="R29" s="5">
        <f>IF($P29="","",$P29+ROW()/1000000)</f>
        <v>-48.37497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3251</v>
      </c>
      <c r="M30" s="2">
        <f>IFERROR(VLOOKUP($A30,Prices!$A$2:$D$174,4,0),"")</f>
        <v>3165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681</v>
      </c>
      <c r="P30" s="2">
        <f>IF(OR($L30="",$M30=""),"",(3+0.15*'Top 8'!$J$4)*($M30+$N30)/6-($L30-0.1*'Top 8'!$J$5*$O30))</f>
        <v>-714.3500000000004</v>
      </c>
      <c r="Q30" s="2">
        <f>IF($P30="","",$P30*3000)</f>
        <v>-2143050.000000001</v>
      </c>
      <c r="R30" s="5">
        <f>IF($P30="","",$P30+ROW()/1000000)</f>
        <v>-714.3499690000003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2583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72</v>
      </c>
      <c r="P32" s="2">
        <f>IF(OR($L32="",$M32=""),"",$M32-($L32-0.1*'Top 8'!$J$5*$O32))</f>
        <v>-967.8000000000002</v>
      </c>
      <c r="Q32" s="2">
        <f>IF($P32="","",$P32*3000)</f>
        <v>-2903400.0000000005</v>
      </c>
      <c r="R32" s="5">
        <f>IF($P32="","",$P32+ROW()/1000000)</f>
        <v>-967.7999670000002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1755</v>
      </c>
      <c r="M33" s="2">
        <f>IFERROR(VLOOKUP($A33,Prices!$A$2:$D$174,4,0),"")</f>
        <v>871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71</v>
      </c>
      <c r="P33" s="2">
        <f>IF(OR($L33="",$M33=""),"",(3+0.15*'Top 8'!$J$4)*($M33+$N33)/6-($L33-0.1*'Top 8'!$J$5*$O33))</f>
        <v>-1025.5</v>
      </c>
      <c r="Q33" s="2">
        <f>IF($P33="","",$P33*3000)</f>
        <v>-3076500</v>
      </c>
      <c r="R33" s="5">
        <f>IF($P33="","",$P33+ROW()/1000000)</f>
        <v>-1025.499966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2597</v>
      </c>
      <c r="M34" s="2">
        <f>IFERROR(VLOOKUP($A34,Prices!$A$2:$D$174,4,0),"")</f>
        <v>1693</v>
      </c>
      <c r="N34" s="2">
        <f>IF(ISNUMBER(SEARCH("(4)",$A34)),IFERROR(VLOOKUP(SUBSTITUTE($A34,"(4)","(2)"),Prices!$A$2:$D$174,4,0),""),"")</f>
        <v>903</v>
      </c>
      <c r="O34" s="2">
        <f>IFERROR((IF($F34="","",VLOOKUP($F34,Prices!$A$2:$D$174,3,0))*$G34),"")</f>
        <v>917</v>
      </c>
      <c r="P34" s="2">
        <f>IF(OR($L34="",$M34=""),"",(3+0.15*'Top 8'!$J$4)*($M34+$N34)/6-($L34-0.1*'Top 8'!$J$5*$O34))</f>
        <v>-1142.4</v>
      </c>
      <c r="Q34" s="2">
        <f>IF($P34="","",$P34*3000)</f>
        <v>-3427200.0000000005</v>
      </c>
      <c r="R34" s="5">
        <f>IF($P34="","",$P34+ROW()/1000000)</f>
        <v>-1142.399965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2074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186</v>
      </c>
      <c r="P35" s="2">
        <f>IF(OR($L35="",$M35=""),"",$M35-($L35-0.1*'Top 8'!$J$5*$O35))</f>
        <v>-1157.4</v>
      </c>
      <c r="Q35" s="2">
        <f>IF($P35="","",$P35*3000)</f>
        <v>-3472200.0000000005</v>
      </c>
      <c r="R35" s="5">
        <f>IF($P35="","",$P35+ROW()/1000000)</f>
        <v>-1157.3999640000002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128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-1642.225</v>
      </c>
      <c r="Q36" s="2">
        <f>IF($P36="","",$P36*3000)</f>
        <v>-4926675</v>
      </c>
      <c r="R36" s="5">
        <f>IF($P36="","",$P36+ROW()/1000000)</f>
        <v>-1642.224963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3441.75</v>
      </c>
      <c r="M37" s="2">
        <f>IFERROR(VLOOKUP($A37,Prices!$A$2:$D$174,4,0),"")</f>
        <v>3855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1530</v>
      </c>
      <c r="P37" s="2">
        <f>IF(OR($L37="",$M37=""),"",(3+0.15*'Top 8'!$J$4)*($M37+$N37)/6-($L37-0.1*'Top 8'!$J$5*$O37))</f>
        <v>-306.2249999999999</v>
      </c>
      <c r="Q37" s="2">
        <f>IF($P37="","",$P37*3000)</f>
        <v>-918674.9999999998</v>
      </c>
      <c r="R37" s="5">
        <f>IF($P37="","",$P37+ROW()/1000000)</f>
        <v>-306.2249619999999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4244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533</v>
      </c>
      <c r="O38" s="2">
        <f>IFERROR((IF($F38="","",VLOOKUP($F38,Prices!$A$2:$D$174,3,0))*$G38),"")</f>
        <v>325</v>
      </c>
      <c r="P38" s="2">
        <f>IF(OR($L38="",$M38=""),"",(3+0.15*'Top 8'!$J$4)*($M38+$N38)/6-($L38-0.1*'Top 8'!$J$5*$O38))</f>
        <v>-3617.2</v>
      </c>
      <c r="Q38" s="2">
        <f>IF($P38="","",$P38*3000)</f>
        <v>-10851600</v>
      </c>
      <c r="R38" s="5">
        <f>IF($P38="","",$P38+ROW()/1000000)</f>
        <v>-3617.199961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9728</v>
      </c>
      <c r="M39" s="2">
        <f>IFERROR(VLOOKUP($A39,Prices!$A$2:$D$174,4,0),"")</f>
        <v>8899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7963</v>
      </c>
      <c r="P39" s="2">
        <f>IF(OR($L39="",$M39=""),"",$M39-($L39-0.1*'Top 8'!$J$5*$O39))</f>
        <v>-32.70000000000073</v>
      </c>
      <c r="Q39" s="2">
        <f>IF($P39="","",$P39*3000)</f>
        <v>-98100.00000000218</v>
      </c>
      <c r="R39" s="5">
        <f>IF($P39="","",$P39+ROW()/1000000)</f>
        <v>-32.69996000000073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11700</v>
      </c>
      <c r="M40" s="2">
        <f>IFERROR(VLOOKUP($A40,Prices!$A$2:$D$174,4,0),"")</f>
        <v>15100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917</v>
      </c>
      <c r="P40" s="2">
        <f>IF(OR($L40="",$M40=""),"",(3+0.15*'Top 8'!$J$4)*($M40+$N40)/6-($L40-0.1*'Top 8'!$J$5*$O40))</f>
        <v>-185.875</v>
      </c>
      <c r="Q40" s="2">
        <f>IF($P40="","",$P40*3000)</f>
        <v>-557625</v>
      </c>
      <c r="R40" s="5">
        <f>IF($P40="","",$P40+ROW()/1000000)</f>
        <v>-185.874959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10848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115.77499999999964</v>
      </c>
      <c r="Q41" s="2">
        <f>IF($P41="","",$P41*3000)</f>
        <v>347324.9999999989</v>
      </c>
      <c r="R41" s="5">
        <f>IF($P41="","",$P41+ROW()/1000000)</f>
        <v>115.77504199999963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6981</v>
      </c>
      <c r="M42" s="2">
        <f>IFERROR(VLOOKUP($A42,Prices!$A$2:$D$174,4,0),"")</f>
        <v>6773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4391</v>
      </c>
      <c r="P42" s="2">
        <f>IF(OR($L42="",$M42=""),"",(3+0.15*'Top 8'!$J$4)*($M42+$N42)/6-($L42-0.1*'Top 8'!$J$5*$O42))</f>
        <v>-1283.5</v>
      </c>
      <c r="Q42" s="2">
        <f>IF($P42="","",$P42*3000)</f>
        <v>-3850500</v>
      </c>
      <c r="R42" s="5">
        <f>IF($P42="","",$P42+ROW()/1000000)</f>
        <v>-1283.499957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927</v>
      </c>
      <c r="M44" s="2">
        <f>IFERROR(VLOOKUP($A44,Prices!$A$2:$D$174,4,0),"")</f>
        <v>272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-646.275</v>
      </c>
      <c r="Q44" s="2">
        <f>IF($P44="","",$P44*3000)</f>
        <v>-1938825</v>
      </c>
      <c r="R44" s="5">
        <f>IF($P44="","",$P44+ROW()/1000000)</f>
        <v>-646.274955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6423.75</v>
      </c>
      <c r="M46" s="2">
        <f>IFERROR(VLOOKUP($A46,Prices!$A$2:$D$174,4,0),"")</f>
        <v>7622</v>
      </c>
      <c r="N46" s="2">
        <f>IF(ISNUMBER(SEARCH("(4)",$A46)),IFERROR(VLOOKUP(SUBSTITUTE($A46,"(4)","(2)"),Prices!$A$2:$D$174,4,0),""),"")</f>
        <v>3600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-184.8000000000011</v>
      </c>
      <c r="Q46" s="2">
        <f>IF($P46="","",$P46*3000)</f>
        <v>-554400.0000000033</v>
      </c>
      <c r="R46" s="5">
        <f>IF($P46="","",$P46+ROW()/1000000)</f>
        <v>-184.7999530000011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9105</v>
      </c>
      <c r="M47" s="2">
        <f>IFERROR(VLOOKUP($A47,Prices!$A$2:$D$174,4,0),"")</f>
        <v>10907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-504.375</v>
      </c>
      <c r="Q47" s="2">
        <f>IF($P47="","",$P47*3000)</f>
        <v>-1513125</v>
      </c>
      <c r="R47" s="5">
        <f>IF($P47="","",$P47+ROW()/1000000)</f>
        <v>-504.374952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3543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1863</v>
      </c>
      <c r="P48" s="2">
        <f>IF(OR($L48="",$M48=""),"",(3+0.15*'Top 8'!$J$4)*($M48+$N48)/6-($L48-0.1*'Top 8'!$J$5*$O48))</f>
        <v>-1837.35</v>
      </c>
      <c r="Q48" s="2">
        <f>IF($P48="","",$P48*3000)</f>
        <v>-5512050</v>
      </c>
      <c r="R48" s="5">
        <f>IF($P48="","",$P48+ROW()/1000000)</f>
        <v>-1837.349951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11921</v>
      </c>
      <c r="M50" s="2">
        <f>IFERROR(VLOOKUP($A50,Prices!$A$2:$D$174,4,0),"")</f>
        <v>12034</v>
      </c>
      <c r="N50" s="2">
        <f>IF(ISNUMBER(SEARCH("(4)",$A50)),IFERROR(VLOOKUP(SUBSTITUTE($A50,"(4)","(2)"),Prices!$A$2:$D$174,4,0),""),"")</f>
        <v>6102</v>
      </c>
      <c r="O50" s="2">
        <f>IFERROR((IF($J50="","",VLOOKUP($J50,Prices!$A$2:$D$174,3,0))*$K50),"")</f>
        <v>3697</v>
      </c>
      <c r="P50" s="2">
        <f>IF(OR($L50="",$M50=""),"",$M50-($L50-0.1*'Top 8'!$J$5*$O50))</f>
        <v>482.7000000000007</v>
      </c>
      <c r="Q50" s="2">
        <f>IF($P50="","",$P50*3000)</f>
        <v>1448100.000000002</v>
      </c>
      <c r="R50" s="5">
        <f>IF($P50="","",$P50+ROW()/1000000)</f>
        <v>482.7000510000007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3768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86.77499999999964</v>
      </c>
      <c r="Q51" s="2">
        <f>IF($P51="","",$P51*3000)</f>
        <v>260324.9999999989</v>
      </c>
      <c r="R51" s="5">
        <f>IF($P51="","",$P51+ROW()/1000000)</f>
        <v>86.77505199999963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21214</v>
      </c>
      <c r="M52" s="2">
        <f>IFERROR(VLOOKUP($A52,Prices!$A$2:$D$174,4,0),"")</f>
        <v>19006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-175.40000000000146</v>
      </c>
      <c r="Q52" s="2">
        <f>IF($P52="","",$P52*3000)</f>
        <v>-526200.0000000044</v>
      </c>
      <c r="R52" s="5">
        <f>IF($P52="","",$P52+ROW()/1000000)</f>
        <v>-175.39994700000145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14826</v>
      </c>
      <c r="M53" s="2">
        <f>IFERROR(VLOOKUP($A53,Prices!$A$2:$D$174,4,0),"")</f>
        <v>14326</v>
      </c>
      <c r="N53" s="2">
        <f>IF(ISNUMBER(SEARCH("(4)",$A53)),IFERROR(VLOOKUP(SUBSTITUTE($A53,"(4)","(2)"),Prices!$A$2:$D$174,4,0),""),"")</f>
        <v>7144</v>
      </c>
      <c r="O53" s="2">
        <f>IFERROR((IF($F53="","",VLOOKUP($F53,Prices!$A$2:$D$174,3,0))*$G53),"")</f>
        <v>3697</v>
      </c>
      <c r="P53" s="2">
        <f>IF(OR($L53="",$M53=""),"",$M53-($L53-0.1*'Top 8'!$J$5*$O53))</f>
        <v>-130.29999999999927</v>
      </c>
      <c r="Q53" s="2">
        <f>IF($P53="","",$P53*3000)</f>
        <v>-390899.9999999978</v>
      </c>
      <c r="R53" s="5">
        <f>IF($P53="","",$P53+ROW()/1000000)</f>
        <v>-130.29994599999927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14185.5</v>
      </c>
      <c r="M54" s="2">
        <f>IFERROR(VLOOKUP($A54,Prices!$A$2:$D$174,4,0),"")</f>
        <v>18218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3222</v>
      </c>
      <c r="P54" s="2">
        <f>IF(OR($L54="",$M54=""),"",(3+0.15*'Top 8'!$J$4)*($M54+$N54)/6-($L54-0.1*'Top 8'!$J$5*$O54))</f>
        <v>867.1499999999996</v>
      </c>
      <c r="Q54" s="2">
        <f>IF($P54="","",$P54*3000)</f>
        <v>2601449.999999999</v>
      </c>
      <c r="R54" s="5">
        <f>IF($P54="","",$P54+ROW()/1000000)</f>
        <v>867.1500549999996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14805.75</v>
      </c>
      <c r="M55" s="2">
        <f>IFERROR(VLOOKUP($A55,Prices!$A$2:$D$174,4,0),"")</f>
        <v>17667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-650.3250000000007</v>
      </c>
      <c r="Q55" s="2">
        <f>IF($P55="","",$P55*3000)</f>
        <v>-1950975.000000002</v>
      </c>
      <c r="R55" s="5">
        <f>IF($P55="","",$P55+ROW()/1000000)</f>
        <v>-650.3249440000008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17:29</t>
        </is>
      </c>
    </row>
    <row r="3">
      <c r="A3" s="0" t="inlineStr">
        <is>
          <t xml:space="preserve">Agility potion(4)</t>
        </is>
      </c>
      <c r="B3" s="2">
        <v>3032</v>
      </c>
      <c r="C3" s="2">
        <v>340</v>
      </c>
      <c r="D3" s="2">
        <v>334</v>
      </c>
      <c r="E3" s="5" t="inlineStr">
        <is>
          <t xml:space="preserve">2026-09-14 17:29</t>
        </is>
      </c>
    </row>
    <row r="4">
      <c r="A4" s="0" t="inlineStr">
        <is>
          <t xml:space="preserve">Aldarium</t>
        </is>
      </c>
      <c r="B4" s="2">
        <v>29993</v>
      </c>
      <c r="C4" s="2">
        <v>51314</v>
      </c>
      <c r="D4" s="2">
        <v>50288</v>
      </c>
      <c r="E4" s="5" t="inlineStr">
        <is>
          <t xml:space="preserve">2026-09-14 17:29</t>
        </is>
      </c>
    </row>
    <row r="5">
      <c r="A5" s="0" t="inlineStr">
        <is>
          <t xml:space="preserve">Amylase crystal</t>
        </is>
      </c>
      <c r="B5" s="2">
        <v>12640</v>
      </c>
      <c r="C5" s="2">
        <v>510</v>
      </c>
      <c r="D5" s="2">
        <v>500</v>
      </c>
      <c r="E5" s="5" t="inlineStr">
        <is>
          <t xml:space="preserve">2026-09-14 17:29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17:29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17:29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17:29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17:29</t>
        </is>
      </c>
    </row>
    <row r="10">
      <c r="A10" s="0" t="inlineStr">
        <is>
          <t xml:space="preserve">Anti-venom(4)</t>
        </is>
      </c>
      <c r="B10" s="2">
        <v>12905</v>
      </c>
      <c r="C10" s="2">
        <v>11129</v>
      </c>
      <c r="D10" s="2">
        <v>10907</v>
      </c>
      <c r="E10" s="5" t="inlineStr">
        <is>
          <t xml:space="preserve">2026-09-14 17:29</t>
        </is>
      </c>
    </row>
    <row r="11">
      <c r="A11" s="0" t="inlineStr">
        <is>
          <t xml:space="preserve">Anti-venom+(2)</t>
        </is>
      </c>
      <c r="B11" s="2">
        <v>12917</v>
      </c>
      <c r="C11" s="2">
        <v>7289</v>
      </c>
      <c r="D11" s="2">
        <v>7144</v>
      </c>
      <c r="E11" s="5" t="inlineStr">
        <is>
          <t xml:space="preserve">2026-09-14 17:29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14618</v>
      </c>
      <c r="D12" s="2">
        <v>14326</v>
      </c>
      <c r="E12" s="5" t="inlineStr">
        <is>
          <t xml:space="preserve">2026-09-14 17:29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17:29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17:29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17:29</t>
        </is>
      </c>
    </row>
    <row r="16">
      <c r="A16" s="0" t="inlineStr">
        <is>
          <t xml:space="preserve">Antidote++(4)</t>
        </is>
      </c>
      <c r="B16" s="2">
        <v>5952</v>
      </c>
      <c r="C16" s="2">
        <v>9080</v>
      </c>
      <c r="D16" s="2">
        <v>8899</v>
      </c>
      <c r="E16" s="5" t="inlineStr">
        <is>
          <t xml:space="preserve">2026-09-14 17:29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17:29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888</v>
      </c>
      <c r="D18" s="2">
        <v>871</v>
      </c>
      <c r="E18" s="5" t="inlineStr">
        <is>
          <t xml:space="preserve">2026-09-14 17:29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17:29</t>
        </is>
      </c>
    </row>
    <row r="20">
      <c r="A20" s="0" t="inlineStr">
        <is>
          <t xml:space="preserve">Antipoison(4)</t>
        </is>
      </c>
      <c r="B20" s="2">
        <v>2446</v>
      </c>
      <c r="C20" s="2">
        <v>455</v>
      </c>
      <c r="D20" s="2">
        <v>446</v>
      </c>
      <c r="E20" s="5" t="inlineStr">
        <is>
          <t xml:space="preserve">2026-09-14 17:29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1074</v>
      </c>
      <c r="D21" s="2">
        <v>1053</v>
      </c>
      <c r="E21" s="5" t="inlineStr">
        <is>
          <t xml:space="preserve">2026-09-14 17:29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17:29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17:29</t>
        </is>
      </c>
    </row>
    <row r="24">
      <c r="A24" s="0" t="inlineStr">
        <is>
          <t xml:space="preserve">Ashes</t>
        </is>
      </c>
      <c r="B24" s="2">
        <v>592</v>
      </c>
      <c r="C24" s="2">
        <v>34</v>
      </c>
      <c r="D24" s="2">
        <v>34</v>
      </c>
      <c r="E24" s="5" t="inlineStr">
        <is>
          <t xml:space="preserve">2026-09-14 17:29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17:29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17:29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17:29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15408</v>
      </c>
      <c r="D29" s="2">
        <v>15100</v>
      </c>
      <c r="E29" s="5" t="inlineStr">
        <is>
          <t xml:space="preserve">2026-09-14 17:29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17:29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17:29</t>
        </is>
      </c>
    </row>
    <row r="32">
      <c r="A32" s="0" t="inlineStr">
        <is>
          <t xml:space="preserve">Cactus spine</t>
        </is>
      </c>
      <c r="B32" s="2">
        <v>6016</v>
      </c>
      <c r="C32" s="2">
        <v>1640</v>
      </c>
      <c r="D32" s="2">
        <v>1608</v>
      </c>
      <c r="E32" s="5" t="inlineStr">
        <is>
          <t xml:space="preserve">2026-09-14 17:29</t>
        </is>
      </c>
    </row>
    <row r="33">
      <c r="A33" s="0" t="inlineStr">
        <is>
          <t xml:space="preserve">Cadantine</t>
        </is>
      </c>
      <c r="B33" s="2">
        <v>265</v>
      </c>
      <c r="C33" s="2">
        <v>2244</v>
      </c>
      <c r="D33" s="2">
        <v>2200</v>
      </c>
      <c r="E33" s="5" t="inlineStr">
        <is>
          <t xml:space="preserve">2026-09-14 17:29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58</v>
      </c>
      <c r="D35" s="2">
        <v>57</v>
      </c>
      <c r="E35" s="5" t="inlineStr">
        <is>
          <t xml:space="preserve">2026-09-14 17:29</t>
        </is>
      </c>
    </row>
    <row r="36">
      <c r="A36" s="0" t="inlineStr">
        <is>
          <t xml:space="preserve">Coconut milk</t>
        </is>
      </c>
      <c r="B36" s="2">
        <v>5935</v>
      </c>
      <c r="C36" s="2">
        <v>248</v>
      </c>
      <c r="D36" s="2">
        <v>244</v>
      </c>
      <c r="E36" s="5" t="inlineStr">
        <is>
          <t xml:space="preserve">2026-09-14 17:29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166</v>
      </c>
      <c r="D37" s="2">
        <v>163</v>
      </c>
      <c r="E37" s="5" t="inlineStr">
        <is>
          <t xml:space="preserve">2026-09-14 17:29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17:29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17:29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17:29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17:29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17:29</t>
        </is>
      </c>
    </row>
    <row r="43">
      <c r="A43" s="0" t="inlineStr">
        <is>
          <t xml:space="preserve">Crushed nest</t>
        </is>
      </c>
      <c r="B43" s="2">
        <v>6693</v>
      </c>
      <c r="C43" s="2">
        <v>4391</v>
      </c>
      <c r="D43" s="2">
        <v>4304</v>
      </c>
      <c r="E43" s="5" t="inlineStr">
        <is>
          <t xml:space="preserve">2026-09-14 17:29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17:29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17:29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357</v>
      </c>
      <c r="D46" s="2">
        <v>350</v>
      </c>
      <c r="E46" s="5" t="inlineStr">
        <is>
          <t xml:space="preserve">2026-09-14 17:29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563</v>
      </c>
      <c r="D47" s="2">
        <v>552</v>
      </c>
      <c r="E47" s="5" t="inlineStr">
        <is>
          <t xml:space="preserve">2026-09-14 17:29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17:29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71</v>
      </c>
      <c r="D49" s="2">
        <v>70</v>
      </c>
      <c r="E49" s="5" t="inlineStr">
        <is>
          <t xml:space="preserve">2026-09-14 17:29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17:29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175</v>
      </c>
      <c r="D53" s="2">
        <v>172</v>
      </c>
      <c r="E53" s="5" t="inlineStr">
        <is>
          <t xml:space="preserve">2026-09-14 17:29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17:29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18589</v>
      </c>
      <c r="D55" s="2">
        <v>18218</v>
      </c>
      <c r="E55" s="5" t="inlineStr">
        <is>
          <t xml:space="preserve">2026-09-14 17:29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17:29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277</v>
      </c>
      <c r="D57" s="2">
        <v>272</v>
      </c>
      <c r="E57" s="5" t="inlineStr">
        <is>
          <t xml:space="preserve">2026-09-14 17:29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3673</v>
      </c>
      <c r="D58" s="2">
        <v>3600</v>
      </c>
      <c r="E58" s="5" t="inlineStr">
        <is>
          <t xml:space="preserve">2026-09-14 17:29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7777</v>
      </c>
      <c r="D59" s="2">
        <v>7622</v>
      </c>
      <c r="E59" s="5" t="inlineStr">
        <is>
          <t xml:space="preserve">2026-09-14 17:29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17:29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18027</v>
      </c>
      <c r="D61" s="2">
        <v>17667</v>
      </c>
      <c r="E61" s="5" t="inlineStr">
        <is>
          <t xml:space="preserve">2026-09-14 17:29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17:29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2224</v>
      </c>
      <c r="D63" s="2">
        <v>2180</v>
      </c>
      <c r="E63" s="5" t="inlineStr">
        <is>
          <t xml:space="preserve">2026-09-14 17:29</t>
        </is>
      </c>
    </row>
    <row r="64">
      <c r="A64" s="0" t="inlineStr">
        <is>
          <t xml:space="preserve">Eye of newt</t>
        </is>
      </c>
      <c r="B64" s="2">
        <v>221</v>
      </c>
      <c r="C64" s="2">
        <v>5</v>
      </c>
      <c r="D64" s="2">
        <v>5</v>
      </c>
      <c r="E64" s="5" t="inlineStr">
        <is>
          <t xml:space="preserve">2026-09-14 17:29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17:29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17:29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17:29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3844</v>
      </c>
      <c r="D68" s="2">
        <v>3768</v>
      </c>
      <c r="E68" s="5" t="inlineStr">
        <is>
          <t xml:space="preserve">2026-09-14 17:29</t>
        </is>
      </c>
    </row>
    <row r="69">
      <c r="A69" s="0" t="inlineStr">
        <is>
          <t xml:space="preserve">Garlic</t>
        </is>
      </c>
      <c r="B69" s="2">
        <v>1550</v>
      </c>
      <c r="C69" s="2">
        <v>24</v>
      </c>
      <c r="D69" s="2">
        <v>24</v>
      </c>
      <c r="E69" s="5" t="inlineStr">
        <is>
          <t xml:space="preserve">2026-09-14 17:29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31254</v>
      </c>
      <c r="D70" s="2">
        <v>30629</v>
      </c>
      <c r="E70" s="5" t="inlineStr">
        <is>
          <t xml:space="preserve">2026-09-14 17:29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60872</v>
      </c>
      <c r="D71" s="2">
        <v>59655</v>
      </c>
      <c r="E71" s="5" t="inlineStr">
        <is>
          <t xml:space="preserve">2026-09-14 17:29</t>
        </is>
      </c>
    </row>
    <row r="72">
      <c r="A72" s="0" t="inlineStr">
        <is>
          <t xml:space="preserve">Goat horn dust</t>
        </is>
      </c>
      <c r="B72" s="2">
        <v>9736</v>
      </c>
      <c r="C72" s="2">
        <v>134</v>
      </c>
      <c r="D72" s="2">
        <v>132</v>
      </c>
      <c r="E72" s="5" t="inlineStr">
        <is>
          <t xml:space="preserve">2026-09-14 17:29</t>
        </is>
      </c>
    </row>
    <row r="73">
      <c r="A73" s="0" t="inlineStr">
        <is>
          <t xml:space="preserve">Guam leaf</t>
        </is>
      </c>
      <c r="B73" s="2">
        <v>249</v>
      </c>
      <c r="C73" s="2">
        <v>368</v>
      </c>
      <c r="D73" s="2">
        <v>361</v>
      </c>
      <c r="E73" s="5" t="inlineStr">
        <is>
          <t xml:space="preserve">2026-09-14 17:29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17:29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1109</v>
      </c>
      <c r="D76" s="2">
        <v>1087</v>
      </c>
      <c r="E76" s="5" t="inlineStr">
        <is>
          <t xml:space="preserve">2026-09-14 17:29</t>
        </is>
      </c>
    </row>
    <row r="77">
      <c r="A77" s="0" t="inlineStr">
        <is>
          <t xml:space="preserve">Guthix rest(2)</t>
        </is>
      </c>
      <c r="B77" s="2">
        <v>4421</v>
      </c>
      <c r="C77" s="2">
        <v>1309</v>
      </c>
      <c r="D77" s="2">
        <v>1283</v>
      </c>
      <c r="E77" s="5" t="inlineStr">
        <is>
          <t xml:space="preserve">2026-09-14 17:29</t>
        </is>
      </c>
    </row>
    <row r="78">
      <c r="A78" s="0" t="inlineStr">
        <is>
          <t xml:space="preserve">Guthix rest(4)</t>
        </is>
      </c>
      <c r="B78" s="2">
        <v>4417</v>
      </c>
      <c r="C78" s="2">
        <v>2861</v>
      </c>
      <c r="D78" s="2">
        <v>2804</v>
      </c>
      <c r="E78" s="5" t="inlineStr">
        <is>
          <t xml:space="preserve">2026-09-14 17:29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17:29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17:29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17:29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17:29</t>
        </is>
      </c>
    </row>
    <row r="83">
      <c r="A83" s="0" t="inlineStr">
        <is>
          <t xml:space="preserve">Harralander</t>
        </is>
      </c>
      <c r="B83" s="2">
        <v>255</v>
      </c>
      <c r="C83" s="2">
        <v>428</v>
      </c>
      <c r="D83" s="2">
        <v>420</v>
      </c>
      <c r="E83" s="5" t="inlineStr">
        <is>
          <t xml:space="preserve">2026-09-14 17:29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17:29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558</v>
      </c>
      <c r="D87" s="2">
        <v>547</v>
      </c>
      <c r="E87" s="5" t="inlineStr">
        <is>
          <t xml:space="preserve">2026-09-14 17:29</t>
        </is>
      </c>
    </row>
    <row r="88">
      <c r="A88" s="0" t="inlineStr">
        <is>
          <t xml:space="preserve">Irit leaf</t>
        </is>
      </c>
      <c r="B88" s="2">
        <v>259</v>
      </c>
      <c r="C88" s="2">
        <v>1517</v>
      </c>
      <c r="D88" s="2">
        <v>1487</v>
      </c>
      <c r="E88" s="5" t="inlineStr">
        <is>
          <t xml:space="preserve">2026-09-14 17:29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325</v>
      </c>
      <c r="D90" s="2">
        <v>319</v>
      </c>
      <c r="E90" s="5" t="inlineStr">
        <is>
          <t xml:space="preserve">2026-09-14 17:29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784</v>
      </c>
      <c r="D91" s="2">
        <v>769</v>
      </c>
      <c r="E91" s="5" t="inlineStr">
        <is>
          <t xml:space="preserve">2026-09-14 17:29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17:29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1863</v>
      </c>
      <c r="D95" s="2">
        <v>1826</v>
      </c>
      <c r="E95" s="5" t="inlineStr">
        <is>
          <t xml:space="preserve">2026-09-14 17:29</t>
        </is>
      </c>
    </row>
    <row r="96">
      <c r="A96" s="0" t="inlineStr">
        <is>
          <t xml:space="preserve">Limpwurt root</t>
        </is>
      </c>
      <c r="B96" s="2">
        <v>225</v>
      </c>
      <c r="C96" s="2">
        <v>224</v>
      </c>
      <c r="D96" s="2">
        <v>220</v>
      </c>
      <c r="E96" s="5" t="inlineStr">
        <is>
          <t xml:space="preserve">2026-09-14 17:29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17:29</t>
        </is>
      </c>
    </row>
    <row r="98">
      <c r="A98" s="0" t="inlineStr">
        <is>
          <t xml:space="preserve">Magic potion(4)</t>
        </is>
      </c>
      <c r="B98" s="2">
        <v>3040</v>
      </c>
      <c r="C98" s="2">
        <v>130</v>
      </c>
      <c r="D98" s="2">
        <v>128</v>
      </c>
      <c r="E98" s="5" t="inlineStr">
        <is>
          <t xml:space="preserve">2026-09-14 17:29</t>
        </is>
      </c>
    </row>
    <row r="99">
      <c r="A99" s="0" t="inlineStr">
        <is>
          <t xml:space="preserve">Magic roots</t>
        </is>
      </c>
      <c r="B99" s="2">
        <v>6051</v>
      </c>
      <c r="C99" s="2">
        <v>7963</v>
      </c>
      <c r="D99" s="2">
        <v>7804</v>
      </c>
      <c r="E99" s="5" t="inlineStr">
        <is>
          <t xml:space="preserve">2026-09-14 17:29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17:29</t>
        </is>
      </c>
    </row>
    <row r="101">
      <c r="A101" s="0" t="inlineStr">
        <is>
          <t xml:space="preserve">Marrentill</t>
        </is>
      </c>
      <c r="B101" s="2">
        <v>251</v>
      </c>
      <c r="C101" s="2">
        <v>320</v>
      </c>
      <c r="D101" s="2">
        <v>314</v>
      </c>
      <c r="E101" s="5" t="inlineStr">
        <is>
          <t xml:space="preserve">2026-09-14 17:29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17:29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17:29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227</v>
      </c>
      <c r="D105" s="2">
        <v>223</v>
      </c>
      <c r="E105" s="5" t="inlineStr">
        <is>
          <t xml:space="preserve">2026-09-14 17:29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811</v>
      </c>
      <c r="D106" s="2">
        <v>795</v>
      </c>
      <c r="E106" s="5" t="inlineStr">
        <is>
          <t xml:space="preserve">2026-09-14 17:29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17:29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17:29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4587</v>
      </c>
      <c r="D110" s="2">
        <v>4496</v>
      </c>
      <c r="E110" s="5" t="inlineStr">
        <is>
          <t xml:space="preserve">2026-09-14 17:29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9541</v>
      </c>
      <c r="D111" s="2">
        <v>9351</v>
      </c>
      <c r="E111" s="5" t="inlineStr">
        <is>
          <t xml:space="preserve">2026-09-14 17:29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17:29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70117</v>
      </c>
      <c r="D113" s="2">
        <v>68715</v>
      </c>
      <c r="E113" s="5" t="inlineStr">
        <is>
          <t xml:space="preserve">2026-09-14 17:29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17:29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921</v>
      </c>
      <c r="D116" s="2">
        <v>903</v>
      </c>
      <c r="E116" s="5" t="inlineStr">
        <is>
          <t xml:space="preserve">2026-09-14 17:29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1727</v>
      </c>
      <c r="D117" s="2">
        <v>1693</v>
      </c>
      <c r="E117" s="5" t="inlineStr">
        <is>
          <t xml:space="preserve">2026-09-14 17:29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186</v>
      </c>
      <c r="D118" s="2">
        <v>183</v>
      </c>
      <c r="E118" s="5" t="inlineStr">
        <is>
          <t xml:space="preserve">2026-09-14 17:29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17:29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56</v>
      </c>
      <c r="D120" s="2">
        <v>55</v>
      </c>
      <c r="E120" s="5" t="inlineStr">
        <is>
          <t xml:space="preserve">2026-09-14 17:29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8427</v>
      </c>
      <c r="D121" s="2">
        <v>8259</v>
      </c>
      <c r="E121" s="5" t="inlineStr">
        <is>
          <t xml:space="preserve">2026-09-14 17:29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19295</v>
      </c>
      <c r="D122" s="2">
        <v>18910</v>
      </c>
      <c r="E122" s="5" t="inlineStr">
        <is>
          <t xml:space="preserve">2026-09-14 17:29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17:29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6911</v>
      </c>
      <c r="D124" s="2">
        <v>6773</v>
      </c>
      <c r="E124" s="5" t="inlineStr">
        <is>
          <t xml:space="preserve">2026-09-14 17:29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17:29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17:29</t>
        </is>
      </c>
    </row>
    <row r="127">
      <c r="A127" s="0" t="inlineStr">
        <is>
          <t xml:space="preserve">Silver dust</t>
        </is>
      </c>
      <c r="B127" s="2">
        <v>7650</v>
      </c>
      <c r="C127" s="2">
        <v>750</v>
      </c>
      <c r="D127" s="2">
        <v>735</v>
      </c>
      <c r="E127" s="5" t="inlineStr">
        <is>
          <t xml:space="preserve">2026-09-14 17:29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953</v>
      </c>
      <c r="D129" s="2">
        <v>934</v>
      </c>
      <c r="E129" s="5" t="inlineStr">
        <is>
          <t xml:space="preserve">2026-09-14 17:29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17:29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17:29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3933</v>
      </c>
      <c r="D132" s="2">
        <v>3855</v>
      </c>
      <c r="E132" s="5" t="inlineStr">
        <is>
          <t xml:space="preserve">2026-09-14 17:29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17:29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109</v>
      </c>
      <c r="D134" s="2">
        <v>107</v>
      </c>
      <c r="E134" s="5" t="inlineStr">
        <is>
          <t xml:space="preserve">2026-09-14 17:29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17:29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19393</v>
      </c>
      <c r="D136" s="2">
        <v>19006</v>
      </c>
      <c r="E136" s="5" t="inlineStr">
        <is>
          <t xml:space="preserve">2026-09-14 17:29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17:29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1944</v>
      </c>
      <c r="D138" s="2">
        <v>1906</v>
      </c>
      <c r="E138" s="5" t="inlineStr">
        <is>
          <t xml:space="preserve">2026-09-14 17:29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6226</v>
      </c>
      <c r="D139" s="2">
        <v>6102</v>
      </c>
      <c r="E139" s="5" t="inlineStr">
        <is>
          <t xml:space="preserve">2026-09-14 17:29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12279</v>
      </c>
      <c r="D140" s="2">
        <v>12034</v>
      </c>
      <c r="E140" s="5" t="inlineStr">
        <is>
          <t xml:space="preserve">2026-09-14 17:29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17:29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3229</v>
      </c>
      <c r="D142" s="2">
        <v>3165</v>
      </c>
      <c r="E142" s="5" t="inlineStr">
        <is>
          <t xml:space="preserve">2026-09-14 17:29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17:29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2549</v>
      </c>
      <c r="D144" s="2">
        <v>2499</v>
      </c>
      <c r="E144" s="5" t="inlineStr">
        <is>
          <t xml:space="preserve">2026-09-14 17:29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17:29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1821</v>
      </c>
      <c r="D146" s="2">
        <v>1785</v>
      </c>
      <c r="E146" s="5" t="inlineStr">
        <is>
          <t xml:space="preserve">2026-09-14 17:29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17:29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17:29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17:29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10011</v>
      </c>
      <c r="D150" s="2">
        <v>9811</v>
      </c>
      <c r="E150" s="5" t="inlineStr">
        <is>
          <t xml:space="preserve">2026-09-14 17:29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17:29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3051</v>
      </c>
      <c r="D152" s="2">
        <v>2990</v>
      </c>
      <c r="E152" s="5" t="inlineStr">
        <is>
          <t xml:space="preserve">2026-09-14 17:29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17:29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1395</v>
      </c>
      <c r="D154" s="2">
        <v>1368</v>
      </c>
      <c r="E154" s="5" t="inlineStr">
        <is>
          <t xml:space="preserve">2026-09-14 17:29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325</v>
      </c>
      <c r="D157" s="2">
        <v>319</v>
      </c>
      <c r="E157" s="5" t="inlineStr">
        <is>
          <t xml:space="preserve">2026-09-14 17:29</t>
        </is>
      </c>
    </row>
    <row r="158">
      <c r="A158" s="0" t="inlineStr">
        <is>
          <t xml:space="preserve">Toadflax</t>
        </is>
      </c>
      <c r="B158" s="2">
        <v>2998</v>
      </c>
      <c r="C158" s="2">
        <v>2263</v>
      </c>
      <c r="D158" s="2">
        <v>2218</v>
      </c>
      <c r="E158" s="5" t="inlineStr">
        <is>
          <t xml:space="preserve">2026-09-14 17:29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3697</v>
      </c>
      <c r="D160" s="2">
        <v>3624</v>
      </c>
      <c r="E160" s="5" t="inlineStr">
        <is>
          <t xml:space="preserve">2026-09-14 17:29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694</v>
      </c>
      <c r="D163" s="2">
        <v>681</v>
      </c>
      <c r="E163" s="5" t="inlineStr">
        <is>
          <t xml:space="preserve">2026-09-14 17:29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8539</v>
      </c>
      <c r="D164" s="2">
        <v>8369</v>
      </c>
      <c r="E164" s="5" t="inlineStr">
        <is>
          <t xml:space="preserve">2026-09-14 17:29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158</v>
      </c>
      <c r="D165" s="2">
        <v>155</v>
      </c>
      <c r="E165" s="5" t="inlineStr">
        <is>
          <t xml:space="preserve">2026-09-14 17:29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291</v>
      </c>
      <c r="D166" s="2">
        <v>286</v>
      </c>
      <c r="E166" s="5" t="inlineStr">
        <is>
          <t xml:space="preserve">2026-09-14 17:29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17:29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681</v>
      </c>
      <c r="D168" s="2">
        <v>668</v>
      </c>
      <c r="E168" s="5" t="inlineStr">
        <is>
          <t xml:space="preserve">2026-09-14 17:29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917</v>
      </c>
      <c r="D169" s="2">
        <v>899</v>
      </c>
      <c r="E169" s="5" t="inlineStr">
        <is>
          <t xml:space="preserve">2026-09-14 17:29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17:29</t>
        </is>
      </c>
    </row>
    <row r="171">
      <c r="A171" s="0" t="inlineStr">
        <is>
          <t xml:space="preserve">Yew roots</t>
        </is>
      </c>
      <c r="B171" s="2">
        <v>6049</v>
      </c>
      <c r="C171" s="2">
        <v>72</v>
      </c>
      <c r="D171" s="2">
        <v>71</v>
      </c>
      <c r="E171" s="5" t="inlineStr">
        <is>
          <t xml:space="preserve">2026-09-14 17:29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543</v>
      </c>
      <c r="D172" s="2">
        <v>533</v>
      </c>
      <c r="E172" s="5" t="inlineStr">
        <is>
          <t xml:space="preserve">2026-09-14 17:29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17:29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17:29</t>
        </is>
      </c>
    </row>
  </sheetData>
</worksheet>
</file>