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p 8" sheetId="1" r:id="rId1"/>
    <sheet name="Recipes" sheetId="2" r:id="rId2"/>
    <sheet name="Prices" sheetId="3" r:id="rId3"/>
  </sheets>
</workbook>
</file>

<file path=xl/styles.xml><?xml version="1.0" encoding="utf-8"?>
<styleSheet xmlns="http://schemas.openxmlformats.org/spreadsheetml/2006/main">
  <numFmts count="2">
    <numFmt numFmtId="164" formatCode="0;[Red]-0"/>
    <numFmt numFmtId="165" formatCode="0.00"/>
  </numFmts>
  <fonts count="3">
    <font>
      <sz val="11"/>
      <name val="Calibri"/>
    </font>
    <font>
      <b/>
      <sz val="11"/>
      <name val="Calibri"/>
    </font>
    <font>
      <sz val="9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4" fontId="1" fillId="2" borderId="0" xfId="0" applyNumberFormat="1" applyFont="1" applyFill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34" customWidth="1"/>
    <col min="3" max="3" width="8" customWidth="1"/>
    <col min="4" max="4" width="8" customWidth="1"/>
    <col min="5" max="5" width="18" customWidth="1"/>
    <col min="6" max="6" width="12" customWidth="1"/>
    <col min="7" max="7" width="15" customWidth="1"/>
    <col min="8" max="8" width="12" customWidth="1"/>
    <col min="9" max="9" width="44" customWidth="1"/>
    <col min="10" max="10" width="10" customWidth="1"/>
  </cols>
  <sheetData>
    <row r="1">
      <c r="A1" s="1" t="inlineStr">
        <is>
          <t xml:space="preserve">TOP 8 MOST PROFITABLE HERBLORE POTIONS (live)</t>
        </is>
      </c>
    </row>
    <row r="2">
      <c r="A2" s="5" t="inlineStr">
        <is>
          <t xml:space="preserve">Last price update: 2026-09-15 03:03 UTC — auto-refreshes every 5 minutes (server.mjs). Source: wiki median GE price (buy=sell=median).</t>
        </is>
      </c>
    </row>
    <row r="3">
      <c r="A3" s="1" t="inlineStr">
        <is>
          <t xml:space="preserve">Rank</t>
        </is>
      </c>
      <c r="B3" s="1" t="inlineStr">
        <is>
          <t xml:space="preserve">Potion</t>
        </is>
      </c>
      <c r="C3" s="1" t="inlineStr">
        <is>
          <t xml:space="preserve">Level</t>
        </is>
      </c>
      <c r="D3" s="1" t="inlineStr">
        <is>
          <t xml:space="preserve">XP</t>
        </is>
      </c>
      <c r="E3" s="1" t="inlineStr">
        <is>
          <t xml:space="preserve">Cost to make (per craft)</t>
        </is>
      </c>
      <c r="F3" s="1" t="inlineStr">
        <is>
          <t xml:space="preserve">Sell price (4)</t>
        </is>
      </c>
      <c r="G3" s="1" t="inlineStr">
        <is>
          <t xml:space="preserve">Profit / craft</t>
        </is>
      </c>
      <c r="H3" s="1" t="inlineStr">
        <is>
          <t xml:space="preserve">GP/h</t>
        </is>
      </c>
      <c r="I3" s="1" t="inlineStr">
        <is>
          <t xml:space="preserve">Equipment (0/1)</t>
        </is>
      </c>
      <c r="J3" s="1"/>
    </row>
    <row r="4">
      <c r="A4" s="2">
        <v>1</v>
      </c>
      <c r="B4" s="0" t="str">
        <f>IF($G4="","",INDEX(Recipes!$A$2:$A$55,MATCH($G4,Recipes!$R$2:$R$55,0)))</f>
        <v>Prayer regeneration potion(4)</v>
      </c>
      <c r="C4" s="2">
        <f>IF($G4="","",INDEX(Recipes!$B$2:$B$55,MATCH($G4,Recipes!$R$2:$R$55,0)))</f>
        <v>58</v>
      </c>
      <c r="D4" s="4">
        <f>IF($G4="","",INDEX(Recipes!$C$2:$C$55,MATCH($G4,Recipes!$R$2:$R$55,0)))</f>
        <v>132</v>
      </c>
      <c r="E4" s="2">
        <f>IF($G4="","",INDEX(Recipes!$L$2:$L$55,MATCH($G4,Recipes!$R$2:$R$55,0)))</f>
        <v>57078</v>
      </c>
      <c r="F4" s="2">
        <f>IF($G4="","",INDEX(Recipes!$M$2:$M$55,MATCH($G4,Recipes!$R$2:$R$55,0)))</f>
        <v>68159</v>
      </c>
      <c r="G4" s="2">
        <f>IFERROR(LARGE(Recipes!$R$2:$R$55,1),"")</f>
        <v>2716.225000000006</v>
      </c>
      <c r="H4" s="2">
        <f>IF($G4="","",INDEX(Recipes!$Q$2:$Q$55,MATCH($G4,Recipes!$R$2:$R$55,0)))</f>
        <v>8148675.000000018</v>
      </c>
      <c r="I4" s="5" t="inlineStr">
        <is>
          <t xml:space="preserve">Alchemist's amulet (15%: 4 doses instead of 3)</t>
        </is>
      </c>
      <c r="J4" s="2">
        <v>1</v>
      </c>
    </row>
    <row r="5">
      <c r="A5" s="2">
        <v>2</v>
      </c>
      <c r="B5" s="0" t="str">
        <f>IF($G5="","",INDEX(Recipes!$A$2:$A$55,MATCH($G5,Recipes!$R$2:$R$55,0)))</f>
        <v>Goading potion(4)</v>
      </c>
      <c r="C5" s="2">
        <f>IF($G5="","",INDEX(Recipes!$B$2:$B$55,MATCH($G5,Recipes!$R$2:$R$55,0)))</f>
        <v>54</v>
      </c>
      <c r="D5" s="4">
        <f>IF($G5="","",INDEX(Recipes!$C$2:$C$55,MATCH($G5,Recipes!$R$2:$R$55,0)))</f>
        <v>132</v>
      </c>
      <c r="E5" s="2">
        <f>IF($G5="","",INDEX(Recipes!$L$2:$L$55,MATCH($G5,Recipes!$R$2:$R$55,0)))</f>
        <v>49560</v>
      </c>
      <c r="F5" s="2">
        <f>IF($G5="","",INDEX(Recipes!$M$2:$M$55,MATCH($G5,Recipes!$R$2:$R$55,0)))</f>
        <v>58337</v>
      </c>
      <c r="G5" s="2">
        <f>IFERROR(LARGE(Recipes!$R$2:$R$55,2),"")</f>
        <v>2368.1500000000015</v>
      </c>
      <c r="H5" s="2">
        <f>IF($G5="","",INDEX(Recipes!$Q$2:$Q$55,MATCH($G5,Recipes!$R$2:$R$55,0)))</f>
        <v>7104450.000000005</v>
      </c>
      <c r="I5" s="5" t="inlineStr">
        <is>
          <t xml:space="preserve">Prescription goggles (10%: secondary not consumed)</t>
        </is>
      </c>
      <c r="J5" s="2">
        <v>1</v>
      </c>
    </row>
    <row r="6">
      <c r="A6" s="2">
        <v>3</v>
      </c>
      <c r="B6" s="0" t="str">
        <f>IF($G6="","",INDEX(Recipes!$A$2:$A$55,MATCH($G6,Recipes!$R$2:$R$55,0)))</f>
        <v>Haemostatic poultice</v>
      </c>
      <c r="C6" s="2">
        <f>IF($G6="","",INDEX(Recipes!$B$2:$B$55,MATCH($G6,Recipes!$R$2:$R$55,0)))</f>
        <v>56</v>
      </c>
      <c r="D6" s="4">
        <f>IF($G6="","",INDEX(Recipes!$C$2:$C$55,MATCH($G6,Recipes!$R$2:$R$55,0)))</f>
        <v>27</v>
      </c>
      <c r="E6" s="2">
        <f>IF($G6="","",INDEX(Recipes!$L$2:$L$55,MATCH($G6,Recipes!$R$2:$R$55,0)))</f>
        <v>2411</v>
      </c>
      <c r="F6" s="2">
        <f>IF($G6="","",INDEX(Recipes!$M$2:$M$55,MATCH($G6,Recipes!$R$2:$R$55,0)))</f>
        <v>3154</v>
      </c>
      <c r="G6" s="2">
        <f>IFERROR(LARGE(Recipes!$R$2:$R$55,3),"")</f>
        <v>864.0999999999999</v>
      </c>
      <c r="H6" s="2">
        <f>IF($G6="","",INDEX(Recipes!$Q$2:$Q$55,MATCH($G6,Recipes!$R$2:$R$55,0)))</f>
        <v>2592299.9999999995</v>
      </c>
      <c r="I6" s="5"/>
      <c r="J6" s="2"/>
    </row>
    <row r="7">
      <c r="A7" s="2">
        <v>4</v>
      </c>
      <c r="B7" s="0" t="str">
        <f>IF($G7="","",INDEX(Recipes!$A$2:$A$55,MATCH($G7,Recipes!$R$2:$R$55,0)))</f>
        <v>Extended anti-venom+(4)</v>
      </c>
      <c r="C7" s="2">
        <f>IF($G7="","",INDEX(Recipes!$B$2:$B$55,MATCH($G7,Recipes!$R$2:$R$55,0)))</f>
        <v>94</v>
      </c>
      <c r="D7" s="4">
        <f>IF($G7="","",INDEX(Recipes!$C$2:$C$55,MATCH($G7,Recipes!$R$2:$R$55,0)))</f>
        <v>80</v>
      </c>
      <c r="E7" s="2">
        <f>IF($G7="","",INDEX(Recipes!$L$2:$L$55,MATCH($G7,Recipes!$R$2:$R$55,0)))</f>
        <v>14163.75</v>
      </c>
      <c r="F7" s="2">
        <f>IF($G7="","",INDEX(Recipes!$M$2:$M$55,MATCH($G7,Recipes!$R$2:$R$55,0)))</f>
        <v>18171</v>
      </c>
      <c r="G7" s="2">
        <f>IFERROR(LARGE(Recipes!$R$2:$R$55,4),"")</f>
        <v>862.125</v>
      </c>
      <c r="H7" s="2">
        <f>IF($G7="","",INDEX(Recipes!$Q$2:$Q$55,MATCH($G7,Recipes!$R$2:$R$55,0)))</f>
        <v>2586375</v>
      </c>
      <c r="I7" s="5"/>
      <c r="J7" s="2"/>
    </row>
    <row r="8">
      <c r="A8" s="2">
        <v>5</v>
      </c>
      <c r="B8" s="0" t="str">
        <f>IF($G8="","",INDEX(Recipes!$A$2:$A$55,MATCH($G8,Recipes!$R$2:$R$55,0)))</f>
        <v>Super combat potion(4)</v>
      </c>
      <c r="C8" s="2">
        <f>IF($G8="","",INDEX(Recipes!$B$2:$B$55,MATCH($G8,Recipes!$R$2:$R$55,0)))</f>
        <v>90</v>
      </c>
      <c r="D8" s="4">
        <f>IF($G8="","",INDEX(Recipes!$C$2:$C$55,MATCH($G8,Recipes!$R$2:$R$55,0)))</f>
        <v>150</v>
      </c>
      <c r="E8" s="2">
        <f>IF($G8="","",INDEX(Recipes!$L$2:$L$55,MATCH($G8,Recipes!$R$2:$R$55,0)))</f>
        <v>11896</v>
      </c>
      <c r="F8" s="2">
        <f>IF($G8="","",INDEX(Recipes!$M$2:$M$55,MATCH($G8,Recipes!$R$2:$R$55,0)))</f>
        <v>11968</v>
      </c>
      <c r="G8" s="2">
        <f>IFERROR(LARGE(Recipes!$R$2:$R$55,5),"")</f>
        <v>445.7000000000007</v>
      </c>
      <c r="H8" s="2">
        <f>IF($G8="","",INDEX(Recipes!$Q$2:$Q$55,MATCH($G8,Recipes!$R$2:$R$55,0)))</f>
        <v>1337100.000000002</v>
      </c>
      <c r="I8" s="5"/>
      <c r="J8" s="2"/>
    </row>
    <row r="9">
      <c r="A9" s="2">
        <v>6</v>
      </c>
      <c r="B9" s="0" t="str">
        <f>IF($G9="","",INDEX(Recipes!$A$2:$A$55,MATCH($G9,Recipes!$R$2:$R$55,0)))</f>
        <v>Prayer potion(4)</v>
      </c>
      <c r="C9" s="2">
        <f>IF($G9="","",INDEX(Recipes!$B$2:$B$55,MATCH($G9,Recipes!$R$2:$R$55,0)))</f>
        <v>38</v>
      </c>
      <c r="D9" s="4">
        <f>IF($G9="","",INDEX(Recipes!$C$2:$C$55,MATCH($G9,Recipes!$R$2:$R$55,0)))</f>
        <v>87.5</v>
      </c>
      <c r="E9" s="2">
        <f>IF($G9="","",INDEX(Recipes!$L$2:$L$55,MATCH($G9,Recipes!$R$2:$R$55,0)))</f>
        <v>7170</v>
      </c>
      <c r="F9" s="2">
        <f>IF($G9="","",INDEX(Recipes!$M$2:$M$55,MATCH($G9,Recipes!$R$2:$R$55,0)))</f>
        <v>9473</v>
      </c>
      <c r="G9" s="2">
        <f>IFERROR(LARGE(Recipes!$R$2:$R$55,6),"")</f>
        <v>279.1749999999993</v>
      </c>
      <c r="H9" s="2">
        <f>IF($G9="","",INDEX(Recipes!$Q$2:$Q$55,MATCH($G9,Recipes!$R$2:$R$55,0)))</f>
        <v>837524.9999999978</v>
      </c>
      <c r="I9" s="5"/>
      <c r="J9" s="2"/>
    </row>
    <row r="10">
      <c r="A10" s="2">
        <v>7</v>
      </c>
      <c r="B10" s="0" t="str">
        <f>IF($G10="","",INDEX(Recipes!$A$2:$A$55,MATCH($G10,Recipes!$R$2:$R$55,0)))</f>
        <v>Guthix balance(4)</v>
      </c>
      <c r="C10" s="2">
        <f>IF($G10="","",INDEX(Recipes!$B$2:$B$55,MATCH($G10,Recipes!$R$2:$R$55,0)))</f>
        <v>22</v>
      </c>
      <c r="D10" s="4">
        <f>IF($G10="","",INDEX(Recipes!$C$2:$C$55,MATCH($G10,Recipes!$R$2:$R$55,0)))</f>
        <v>50</v>
      </c>
      <c r="E10" s="2">
        <f>IF($G10="","",INDEX(Recipes!$L$2:$L$55,MATCH($G10,Recipes!$R$2:$R$55,0)))</f>
        <v>826.75</v>
      </c>
      <c r="F10" s="2">
        <f>IF($G10="","",INDEX(Recipes!$M$2:$M$55,MATCH($G10,Recipes!$R$2:$R$55,0)))</f>
        <v>1124</v>
      </c>
      <c r="G10" s="2">
        <f>IFERROR(LARGE(Recipes!$R$2:$R$55,7),"")</f>
        <v>110.55000000000007</v>
      </c>
      <c r="H10" s="2">
        <f>IF($G10="","",INDEX(Recipes!$Q$2:$Q$55,MATCH($G10,Recipes!$R$2:$R$55,0)))</f>
        <v>331650.00000000023</v>
      </c>
      <c r="I10" s="5"/>
      <c r="J10" s="2"/>
    </row>
    <row r="11">
      <c r="A11" s="2">
        <v>8</v>
      </c>
      <c r="B11" s="0" t="str">
        <f>IF($G11="","",INDEX(Recipes!$A$2:$A$55,MATCH($G11,Recipes!$R$2:$R$55,0)))</f>
        <v>Guthix rest(4)</v>
      </c>
      <c r="C11" s="2">
        <f>IF($G11="","",INDEX(Recipes!$B$2:$B$55,MATCH($G11,Recipes!$R$2:$R$55,0)))</f>
        <v>18</v>
      </c>
      <c r="D11" s="4">
        <f>IF($G11="","",INDEX(Recipes!$C$2:$C$55,MATCH($G11,Recipes!$R$2:$R$55,0)))</f>
        <v>59</v>
      </c>
      <c r="E11" s="2">
        <f>IF($G11="","",INDEX(Recipes!$L$2:$L$55,MATCH($G11,Recipes!$R$2:$R$55,0)))</f>
        <v>1942</v>
      </c>
      <c r="F11" s="2">
        <f>IF($G11="","",INDEX(Recipes!$M$2:$M$55,MATCH($G11,Recipes!$R$2:$R$55,0)))</f>
        <v>2794</v>
      </c>
      <c r="G11" s="2">
        <f>IFERROR(LARGE(Recipes!$R$2:$R$55,8),"")</f>
        <v>103.59999999999991</v>
      </c>
      <c r="H11" s="2">
        <f>IF($G11="","",INDEX(Recipes!$Q$2:$Q$55,MATCH($G11,Recipes!$R$2:$R$55,0)))</f>
        <v>621599.9999999994</v>
      </c>
      <c r="I11" s="5"/>
      <c r="J11" s="2"/>
    </row>
    <row r="12">
      <c r="A12" s="5" t="inlineStr">
        <is>
          <t xml:space="preserve">One craft = 3 doses; doses are fungible (2×(3) → (4)+(2)). Profit/craft = doses·(sell(4)+sell(2))/6 − (craft cost − 10%·goggles·secondary cost); doses = 3 + 15%·amulet for normal potions, 3 for guthix rest, 4 for always-4 potions (antidote+, antidote++, anti-venom+, super combat, super antifire) which sell as a (4) and are not amulet-boosted; the amulet does not work on components (haemostatic poultice, weapon poison); goggles don't save serum 207 ashes. Sell = after 2% GE tax (cap 5M). Set J4/J5 to 0 to rank without the equipment. Full list of all 54 potions on the Recipes sheet.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8" customWidth="1"/>
    <col min="3" max="3" width="8" customWidth="1"/>
    <col min="4" max="4" width="26" customWidth="1"/>
    <col min="5" max="5" width="6" customWidth="1"/>
    <col min="6" max="6" width="26" customWidth="1"/>
    <col min="7" max="7" width="6" customWidth="1"/>
    <col min="8" max="8" width="26" customWidth="1"/>
    <col min="9" max="9" width="6" customWidth="1"/>
    <col min="10" max="10" width="26" customWidth="1"/>
    <col min="11" max="11" width="6" customWidth="1"/>
    <col min="12" max="12" width="16" customWidth="1"/>
    <col min="13" max="13" width="12" customWidth="1"/>
    <col min="14" max="14" width="12" customWidth="1"/>
    <col min="15" max="15" width="16" customWidth="1"/>
    <col min="16" max="16" width="14" customWidth="1"/>
    <col min="17" max="17" width="12" customWidth="1"/>
    <col min="18" max="18" width="12" customWidth="1"/>
  </cols>
  <sheetData>
    <row r="1">
      <c r="A1" s="1" t="inlineStr">
        <is>
          <t xml:space="preserve">Potion</t>
        </is>
      </c>
      <c r="B1" s="1" t="inlineStr">
        <is>
          <t xml:space="preserve">Level</t>
        </is>
      </c>
      <c r="C1" s="1" t="inlineStr">
        <is>
          <t xml:space="preserve">XP</t>
        </is>
      </c>
      <c r="D1" s="1" t="inlineStr">
        <is>
          <t xml:space="preserve">Ingredient 1</t>
        </is>
      </c>
      <c r="E1" s="1" t="inlineStr">
        <is>
          <t xml:space="preserve">Qty</t>
        </is>
      </c>
      <c r="F1" s="1" t="inlineStr">
        <is>
          <t xml:space="preserve">Ingredient 2</t>
        </is>
      </c>
      <c r="G1" s="1" t="inlineStr">
        <is>
          <t xml:space="preserve">Qty</t>
        </is>
      </c>
      <c r="H1" s="1" t="inlineStr">
        <is>
          <t xml:space="preserve">Ingredient 3</t>
        </is>
      </c>
      <c r="I1" s="1" t="inlineStr">
        <is>
          <t xml:space="preserve">Qty</t>
        </is>
      </c>
      <c r="J1" s="1" t="inlineStr">
        <is>
          <t xml:space="preserve">Ingredient 4</t>
        </is>
      </c>
      <c r="K1" s="1" t="inlineStr">
        <is>
          <t xml:space="preserve">Qty</t>
        </is>
      </c>
      <c r="L1" s="1" t="inlineStr">
        <is>
          <t xml:space="preserve">Cost to make (per craft)</t>
        </is>
      </c>
      <c r="M1" s="1" t="inlineStr">
        <is>
          <t xml:space="preserve">Sell price (4)</t>
        </is>
      </c>
      <c r="N1" s="1" t="inlineStr">
        <is>
          <t xml:space="preserve">Sell price (2)</t>
        </is>
      </c>
      <c r="O1" s="1" t="inlineStr">
        <is>
          <t xml:space="preserve">Secondary cost (per craft)</t>
        </is>
      </c>
      <c r="P1" s="1" t="inlineStr">
        <is>
          <t xml:space="preserve">Profit / craft</t>
        </is>
      </c>
      <c r="Q1" s="1" t="inlineStr">
        <is>
          <t xml:space="preserve">GP/h</t>
        </is>
      </c>
      <c r="R1" s="5" t="inlineStr">
        <is>
          <t xml:space="preserve">Rank key (hidden)</t>
        </is>
      </c>
    </row>
    <row r="2">
      <c r="A2" s="0" t="inlineStr">
        <is>
          <t xml:space="preserve">Attack potion(4)</t>
        </is>
      </c>
      <c r="B2" s="2">
        <v>3</v>
      </c>
      <c r="C2" s="4">
        <v>25</v>
      </c>
      <c r="D2" s="0" t="inlineStr">
        <is>
          <t xml:space="preserve">guam potion (unf)</t>
        </is>
      </c>
      <c r="E2" s="2">
        <v>1</v>
      </c>
      <c r="F2" s="0" t="inlineStr">
        <is>
          <t xml:space="preserve">Eye of newt</t>
        </is>
      </c>
      <c r="G2" s="2">
        <v>1</v>
      </c>
      <c r="H2" s="0"/>
      <c r="I2" s="2"/>
      <c r="J2" s="0"/>
      <c r="K2" s="2"/>
      <c r="L2" s="2">
        <f>IFERROR((IF($D2="","",VLOOKUP($D2,Prices!$A$2:$D$174,3,0))*$E2)+(IF($F2="","",VLOOKUP($F2,Prices!$A$2:$D$174,3,0))*$G2),"")</f>
        <v>300</v>
      </c>
      <c r="M2" s="2">
        <f>IFERROR(VLOOKUP($A2,Prices!$A$2:$D$174,4,0),"")</f>
        <v>9</v>
      </c>
      <c r="N2" s="2">
        <f>IF(ISNUMBER(SEARCH("(4)",$A2)),IFERROR(VLOOKUP(SUBSTITUTE($A2,"(4)","(2)"),Prices!$A$2:$D$174,4,0),""),"")</f>
        <v>10</v>
      </c>
      <c r="O2" s="2">
        <f>IFERROR((IF($F2="","",VLOOKUP($F2,Prices!$A$2:$D$174,3,0))*$G2),"")</f>
        <v>4</v>
      </c>
      <c r="P2" s="2">
        <f>IF(OR($L2="",$M2=""),"",(3+0.15*'Top 8'!$J$4)*($M2+$N2)/6-($L2-0.1*'Top 8'!$J$5*$O2))</f>
        <v>-289.625</v>
      </c>
      <c r="Q2" s="2">
        <f>IF($P2="","",$P2*3000)</f>
        <v>-868875</v>
      </c>
      <c r="R2" s="5">
        <f>IF($P2="","",$P2+ROW()/1000000)</f>
        <v>-289.624997</v>
      </c>
    </row>
    <row r="3">
      <c r="A3" s="0" t="inlineStr">
        <is>
          <t xml:space="preserve">Antipoison(4)</t>
        </is>
      </c>
      <c r="B3" s="2">
        <v>5</v>
      </c>
      <c r="C3" s="4">
        <v>37.5</v>
      </c>
      <c r="D3" s="0" t="inlineStr">
        <is>
          <t xml:space="preserve">marrentill potion (unf)</t>
        </is>
      </c>
      <c r="E3" s="2">
        <v>1</v>
      </c>
      <c r="F3" s="0" t="inlineStr">
        <is>
          <t xml:space="preserve">Unicorn horn dust</t>
        </is>
      </c>
      <c r="G3" s="2">
        <v>1</v>
      </c>
      <c r="H3" s="0"/>
      <c r="I3" s="2"/>
      <c r="J3" s="0"/>
      <c r="K3" s="2"/>
      <c r="L3" s="2">
        <f>IFERROR((IF($D3="","",VLOOKUP($D3,Prices!$A$2:$D$174,3,0))*$E3)+(IF($F3="","",VLOOKUP($F3,Prices!$A$2:$D$174,3,0))*$G3),"")</f>
        <v>938</v>
      </c>
      <c r="M3" s="2">
        <f>IFERROR(VLOOKUP($A3,Prices!$A$2:$D$174,4,0),"")</f>
        <v>444</v>
      </c>
      <c r="N3" s="2">
        <f>IF(ISNUMBER(SEARCH("(4)",$A3)),IFERROR(VLOOKUP(SUBSTITUTE($A3,"(4)","(2)"),Prices!$A$2:$D$174,4,0),""),"")</f>
        <v>232</v>
      </c>
      <c r="O3" s="2">
        <f>IFERROR((IF($F3="","",VLOOKUP($F3,Prices!$A$2:$D$174,3,0))*$G3),"")</f>
        <v>699</v>
      </c>
      <c r="P3" s="2">
        <f>IF(OR($L3="",$M3=""),"",(3+0.15*'Top 8'!$J$4)*($M3+$N3)/6-($L3-0.1*'Top 8'!$J$5*$O3))</f>
        <v>-513.2</v>
      </c>
      <c r="Q3" s="2">
        <f>IF($P3="","",$P3*3000)</f>
        <v>-1539600.0000000002</v>
      </c>
      <c r="R3" s="5">
        <f>IF($P3="","",$P3+ROW()/1000000)</f>
        <v>-513.199996</v>
      </c>
    </row>
    <row r="4">
      <c r="A4" s="0" t="inlineStr">
        <is>
          <t xml:space="preserve">Strength potion(4)</t>
        </is>
      </c>
      <c r="B4" s="2">
        <v>12</v>
      </c>
      <c r="C4" s="4">
        <v>50</v>
      </c>
      <c r="D4" s="0" t="inlineStr">
        <is>
          <t xml:space="preserve">tarromin potion (unf)</t>
        </is>
      </c>
      <c r="E4" s="2">
        <v>1</v>
      </c>
      <c r="F4" s="0" t="inlineStr">
        <is>
          <t xml:space="preserve">Limpwurt root</t>
        </is>
      </c>
      <c r="G4" s="2">
        <v>1</v>
      </c>
      <c r="H4" s="0"/>
      <c r="I4" s="2"/>
      <c r="J4" s="0"/>
      <c r="K4" s="2"/>
      <c r="L4" s="2">
        <f>IFERROR((IF($D4="","",VLOOKUP($D4,Prices!$A$2:$D$174,3,0))*$E4)+(IF($F4="","",VLOOKUP($F4,Prices!$A$2:$D$174,3,0))*$G4),"")</f>
        <v>705</v>
      </c>
      <c r="M4" s="2">
        <f>IFERROR(VLOOKUP($A4,Prices!$A$2:$D$174,4,0),"")</f>
        <v>106</v>
      </c>
      <c r="N4" s="2">
        <f>IF(ISNUMBER(SEARCH("(4)",$A4)),IFERROR(VLOOKUP(SUBSTITUTE($A4,"(4)","(2)"),Prices!$A$2:$D$174,4,0),""),"")</f>
        <v>43</v>
      </c>
      <c r="O4" s="2">
        <f>IFERROR((IF($F4="","",VLOOKUP($F4,Prices!$A$2:$D$174,3,0))*$G4),"")</f>
        <v>221</v>
      </c>
      <c r="P4" s="2">
        <f>IF(OR($L4="",$M4=""),"",(3+0.15*'Top 8'!$J$4)*($M4+$N4)/6-($L4-0.1*'Top 8'!$J$5*$O4))</f>
        <v>-604.675</v>
      </c>
      <c r="Q4" s="2">
        <f>IF($P4="","",$P4*3000)</f>
        <v>-1814024.9999999998</v>
      </c>
      <c r="R4" s="5">
        <f>IF($P4="","",$P4+ROW()/1000000)</f>
        <v>-604.674995</v>
      </c>
    </row>
    <row r="5">
      <c r="A5" s="0" t="inlineStr">
        <is>
          <t xml:space="preserve">Serum 207 (4)</t>
        </is>
      </c>
      <c r="B5" s="2">
        <v>15</v>
      </c>
      <c r="C5" s="4">
        <v>50</v>
      </c>
      <c r="D5" s="0" t="inlineStr">
        <is>
          <t xml:space="preserve">tarromin potion (unf)</t>
        </is>
      </c>
      <c r="E5" s="2">
        <v>1</v>
      </c>
      <c r="F5" s="0" t="inlineStr">
        <is>
          <t xml:space="preserve">Ashes</t>
        </is>
      </c>
      <c r="G5" s="2">
        <v>1</v>
      </c>
      <c r="H5" s="0"/>
      <c r="I5" s="2"/>
      <c r="J5" s="0"/>
      <c r="K5" s="2"/>
      <c r="L5" s="2">
        <f>IFERROR((IF($D5="","",VLOOKUP($D5,Prices!$A$2:$D$174,3,0))*$E5)+(IF($F5="","",VLOOKUP($F5,Prices!$A$2:$D$174,3,0))*$G5),"")</f>
        <v>519</v>
      </c>
      <c r="M5" s="2">
        <f>IFERROR(VLOOKUP($A5,Prices!$A$2:$D$174,4,0),"")</f>
        <v>34</v>
      </c>
      <c r="N5" s="2">
        <f>IF(ISNUMBER(SEARCH("(4)",$A5)),IFERROR(VLOOKUP(SUBSTITUTE($A5,"(4)","(2)"),Prices!$A$2:$D$174,4,0),""),"")</f>
        <v>9</v>
      </c>
      <c r="O5" s="2">
        <f>IFERROR((IF($F5="","",VLOOKUP($F5,Prices!$A$2:$D$174,3,0))*$G5),"")</f>
        <v>35</v>
      </c>
      <c r="P5" s="2">
        <f>IF(OR($L5="",$M5=""),"",(3+0.15*'Top 8'!$J$4)*($M5+$N5)/6-($L5-0))</f>
        <v>-496.425</v>
      </c>
      <c r="Q5" s="2">
        <f>IF($P5="","",$P5*3000)</f>
        <v>-1489275</v>
      </c>
      <c r="R5" s="5">
        <f>IF($P5="","",$P5+ROW()/1000000)</f>
        <v>-496.424994</v>
      </c>
    </row>
    <row r="6">
      <c r="A6" s="0" t="inlineStr">
        <is>
          <t xml:space="preserve">Guthix rest(4)</t>
        </is>
      </c>
      <c r="B6" s="2">
        <v>18</v>
      </c>
      <c r="C6" s="4">
        <v>59</v>
      </c>
      <c r="D6" s="0" t="inlineStr">
        <is>
          <t xml:space="preserve">Cup of hot water</t>
        </is>
      </c>
      <c r="E6" s="2">
        <v>1</v>
      </c>
      <c r="F6" s="0" t="inlineStr">
        <is>
          <t xml:space="preserve">Guam leaf</t>
        </is>
      </c>
      <c r="G6" s="2">
        <v>2</v>
      </c>
      <c r="H6" s="0" t="inlineStr">
        <is>
          <t xml:space="preserve">Harralander</t>
        </is>
      </c>
      <c r="I6" s="2">
        <v>1</v>
      </c>
      <c r="J6" s="0" t="inlineStr">
        <is>
          <t xml:space="preserve">Marrentill</t>
        </is>
      </c>
      <c r="K6" s="2">
        <v>1</v>
      </c>
      <c r="L6" s="2">
        <f>IFERROR((IF($D6="","",VLOOKUP($D6,Prices!$A$2:$D$174,3,0))*$E6)+(IF($F6="","",VLOOKUP($F6,Prices!$A$2:$D$174,3,0))*$G6)+(IF($H6="","",VLOOKUP($H6,Prices!$A$2:$D$174,3,0))*$I6)+(IF($J6="","",VLOOKUP($J6,Prices!$A$2:$D$174,3,0))*$K6),"")</f>
        <v>1942</v>
      </c>
      <c r="M6" s="2">
        <f>IFERROR(VLOOKUP($A6,Prices!$A$2:$D$174,4,0),"")</f>
        <v>2794</v>
      </c>
      <c r="N6" s="2">
        <f>IF(ISNUMBER(SEARCH("(4)",$A6)),IFERROR(VLOOKUP(SUBSTITUTE($A6,"(4)","(2)"),Prices!$A$2:$D$174,4,0),""),"")</f>
        <v>1231</v>
      </c>
      <c r="O6" s="2">
        <f>IFERROR((IF($J6="","",VLOOKUP($J6,Prices!$A$2:$D$174,3,0))*$K6),"")</f>
        <v>331</v>
      </c>
      <c r="P6" s="2">
        <f>IF(OR($L6="",$M6=""),"",($M6+$N6)/2-($L6-0.1*'Top 8'!$J$5*$O6))</f>
        <v>103.59999999999991</v>
      </c>
      <c r="Q6" s="2">
        <f>IF($P6="","",$P6*6000)</f>
        <v>621599.9999999994</v>
      </c>
      <c r="R6" s="5">
        <f>IF($P6="","",$P6+ROW()/1000000)</f>
        <v>103.6000069999999</v>
      </c>
    </row>
    <row r="7">
      <c r="A7" s="0" t="inlineStr">
        <is>
          <t xml:space="preserve">Compost potion(4)</t>
        </is>
      </c>
      <c r="B7" s="2">
        <v>22</v>
      </c>
      <c r="C7" s="4">
        <v>60</v>
      </c>
      <c r="D7" s="0" t="inlineStr">
        <is>
          <t xml:space="preserve">harralander potion (unf)</t>
        </is>
      </c>
      <c r="E7" s="2">
        <v>1</v>
      </c>
      <c r="F7" s="0" t="inlineStr">
        <is>
          <t xml:space="preserve">Volcanic ash</t>
        </is>
      </c>
      <c r="G7" s="2">
        <v>1</v>
      </c>
      <c r="H7" s="0"/>
      <c r="I7" s="2"/>
      <c r="J7" s="0"/>
      <c r="K7" s="2"/>
      <c r="L7" s="2">
        <f>IFERROR((IF($D7="","",VLOOKUP($D7,Prices!$A$2:$D$174,3,0))*$E7)+(IF($F7="","",VLOOKUP($F7,Prices!$A$2:$D$174,3,0))*$G7),"")</f>
        <v>707</v>
      </c>
      <c r="M7" s="2">
        <f>IFERROR(VLOOKUP($A7,Prices!$A$2:$D$174,4,0),"")</f>
        <v>2</v>
      </c>
      <c r="N7" s="2">
        <f>IF(ISNUMBER(SEARCH("(4)",$A7)),IFERROR(VLOOKUP(SUBSTITUTE($A7,"(4)","(2)"),Prices!$A$2:$D$174,4,0),""),"")</f>
        <v>30</v>
      </c>
      <c r="O7" s="2">
        <f>IFERROR((IF($F7="","",VLOOKUP($F7,Prices!$A$2:$D$174,3,0))*$G7),"")</f>
        <v>165</v>
      </c>
      <c r="P7" s="2">
        <f>IF(OR($L7="",$M7=""),"",(3+0.15*'Top 8'!$J$4)*($M7+$N7)/6-($L7-0.1*'Top 8'!$J$5*$O7))</f>
        <v>-673.7</v>
      </c>
      <c r="Q7" s="2">
        <f>IF($P7="","",$P7*3000)</f>
        <v>-2021100.0000000002</v>
      </c>
      <c r="R7" s="5">
        <f>IF($P7="","",$P7+ROW()/1000000)</f>
        <v>-673.6999920000001</v>
      </c>
    </row>
    <row r="8">
      <c r="A8" s="0" t="inlineStr">
        <is>
          <t xml:space="preserve">Restore potion(4)</t>
        </is>
      </c>
      <c r="B8" s="2">
        <v>22</v>
      </c>
      <c r="C8" s="4">
        <v>62.5</v>
      </c>
      <c r="D8" s="0" t="inlineStr">
        <is>
          <t xml:space="preserve">harralander potion (unf)</t>
        </is>
      </c>
      <c r="E8" s="2">
        <v>1</v>
      </c>
      <c r="F8" s="0" t="inlineStr">
        <is>
          <t xml:space="preserve">Red spiders' eggs</t>
        </is>
      </c>
      <c r="G8" s="2">
        <v>1</v>
      </c>
      <c r="H8" s="0"/>
      <c r="I8" s="2"/>
      <c r="J8" s="0"/>
      <c r="K8" s="2"/>
      <c r="L8" s="2">
        <f>IFERROR((IF($D8="","",VLOOKUP($D8,Prices!$A$2:$D$174,3,0))*$E8)+(IF($F8="","",VLOOKUP($F8,Prices!$A$2:$D$174,3,0))*$G8),"")</f>
        <v>726</v>
      </c>
      <c r="M8" s="2">
        <f>IFERROR(VLOOKUP($A8,Prices!$A$2:$D$174,4,0),"")</f>
        <v>56</v>
      </c>
      <c r="N8" s="2">
        <f>IF(ISNUMBER(SEARCH("(4)",$A8)),IFERROR(VLOOKUP(SUBSTITUTE($A8,"(4)","(2)"),Prices!$A$2:$D$174,4,0),""),"")</f>
        <v>44</v>
      </c>
      <c r="O8" s="2">
        <f>IFERROR((IF($F8="","",VLOOKUP($F8,Prices!$A$2:$D$174,3,0))*$G8),"")</f>
        <v>184</v>
      </c>
      <c r="P8" s="2">
        <f>IF(OR($L8="",$M8=""),"",(3+0.15*'Top 8'!$J$4)*($M8+$N8)/6-($L8-0.1*'Top 8'!$J$5*$O8))</f>
        <v>-655.1</v>
      </c>
      <c r="Q8" s="2">
        <f>IF($P8="","",$P8*3000)</f>
        <v>-1965300</v>
      </c>
      <c r="R8" s="5">
        <f>IF($P8="","",$P8+ROW()/1000000)</f>
        <v>-655.099991</v>
      </c>
    </row>
    <row r="9">
      <c r="A9" s="0" t="inlineStr">
        <is>
          <t xml:space="preserve">Guthix balance(4)</t>
        </is>
      </c>
      <c r="B9" s="2">
        <v>22</v>
      </c>
      <c r="C9" s="4">
        <v>50</v>
      </c>
      <c r="D9" s="0" t="inlineStr">
        <is>
          <t xml:space="preserve">Restore potion(4)</t>
        </is>
      </c>
      <c r="E9" s="2">
        <v>1</v>
      </c>
      <c r="F9" s="0" t="inlineStr">
        <is>
          <t xml:space="preserve">Garlic</t>
        </is>
      </c>
      <c r="G9" s="2">
        <v>1</v>
      </c>
      <c r="H9" s="0" t="inlineStr">
        <is>
          <t xml:space="preserve">Silver dust</t>
        </is>
      </c>
      <c r="I9" s="2">
        <v>1</v>
      </c>
      <c r="J9" s="0"/>
      <c r="K9" s="2"/>
      <c r="L9" s="2">
        <f>IFERROR((IF($D9="","",VLOOKUP($D9,Prices!$A$2:$D$174,3,0))*$E9)+(IF($F9="","",VLOOKUP($F9,Prices!$A$2:$D$174,3,0))*$G9)+(IF($H9="","",VLOOKUP($H9,Prices!$A$2:$D$174,3,0))*$I9)-0.25*((IF($D9="","",VLOOKUP($D9,Prices!$A$2:$D$174,3,0))*$E9)),"")</f>
        <v>826.75</v>
      </c>
      <c r="M9" s="2">
        <f>IFERROR(VLOOKUP($A9,Prices!$A$2:$D$174,4,0),"")</f>
        <v>1124</v>
      </c>
      <c r="N9" s="2">
        <f>IF(ISNUMBER(SEARCH("(4)",$A9)),IFERROR(VLOOKUP(SUBSTITUTE($A9,"(4)","(2)"),Prices!$A$2:$D$174,4,0),""),"")</f>
        <v>512</v>
      </c>
      <c r="O9" s="2">
        <f>IFERROR((IF($F9="","",VLOOKUP($F9,Prices!$A$2:$D$174,3,0))*$G9)+(IF($H9="","",VLOOKUP($H9,Prices!$A$2:$D$174,3,0))*$I9),"")</f>
        <v>784</v>
      </c>
      <c r="P9" s="2">
        <f>IF(OR($L9="",$M9=""),"",(3+0.15*'Top 8'!$J$4)*($M9+$N9)/6-($L9-0.1*'Top 8'!$J$5*$O9))</f>
        <v>110.55000000000007</v>
      </c>
      <c r="Q9" s="2">
        <f>IF($P9="","",$P9*3000)</f>
        <v>331650.00000000023</v>
      </c>
      <c r="R9" s="5">
        <f>IF($P9="","",$P9+ROW()/1000000)</f>
        <v>110.55001000000007</v>
      </c>
    </row>
    <row r="10">
      <c r="A10" s="0" t="inlineStr">
        <is>
          <t xml:space="preserve">Energy potion(4)</t>
        </is>
      </c>
      <c r="B10" s="2">
        <v>26</v>
      </c>
      <c r="C10" s="4">
        <v>67.5</v>
      </c>
      <c r="D10" s="0" t="inlineStr">
        <is>
          <t xml:space="preserve">harralander potion (unf)</t>
        </is>
      </c>
      <c r="E10" s="2">
        <v>1</v>
      </c>
      <c r="F10" s="0" t="inlineStr">
        <is>
          <t xml:space="preserve">Chocolate dust</t>
        </is>
      </c>
      <c r="G10" s="2">
        <v>1</v>
      </c>
      <c r="H10" s="0"/>
      <c r="I10" s="2"/>
      <c r="J10" s="0"/>
      <c r="K10" s="2"/>
      <c r="L10" s="2">
        <f>IFERROR((IF($D10="","",VLOOKUP($D10,Prices!$A$2:$D$174,3,0))*$E10)+(IF($F10="","",VLOOKUP($F10,Prices!$A$2:$D$174,3,0))*$G10),"")</f>
        <v>598</v>
      </c>
      <c r="M10" s="2">
        <f>IFERROR(VLOOKUP($A10,Prices!$A$2:$D$174,4,0),"")</f>
        <v>171</v>
      </c>
      <c r="N10" s="2">
        <f>IF(ISNUMBER(SEARCH("(4)",$A10)),IFERROR(VLOOKUP(SUBSTITUTE($A10,"(4)","(2)"),Prices!$A$2:$D$174,4,0),""),"")</f>
        <v>84</v>
      </c>
      <c r="O10" s="2">
        <f>IFERROR((IF($F10="","",VLOOKUP($F10,Prices!$A$2:$D$174,3,0))*$G10),"")</f>
        <v>56</v>
      </c>
      <c r="P10" s="2">
        <f>IF(OR($L10="",$M10=""),"",(3+0.15*'Top 8'!$J$4)*($M10+$N10)/6-($L10-0.1*'Top 8'!$J$5*$O10))</f>
        <v>-458.525</v>
      </c>
      <c r="Q10" s="2">
        <f>IF($P10="","",$P10*3000)</f>
        <v>-1375575</v>
      </c>
      <c r="R10" s="5">
        <f>IF($P10="","",$P10+ROW()/1000000)</f>
        <v>-458.524989</v>
      </c>
    </row>
    <row r="11">
      <c r="A11" s="0" t="inlineStr">
        <is>
          <t xml:space="preserve">Defence potion(4)</t>
        </is>
      </c>
      <c r="B11" s="2">
        <v>30</v>
      </c>
      <c r="C11" s="4">
        <v>75</v>
      </c>
      <c r="D11" s="0" t="inlineStr">
        <is>
          <t xml:space="preserve">ranarr potion (unf)</t>
        </is>
      </c>
      <c r="E11" s="2">
        <v>1</v>
      </c>
      <c r="F11" s="0" t="inlineStr">
        <is>
          <t xml:space="preserve">White berries</t>
        </is>
      </c>
      <c r="G11" s="2">
        <v>1</v>
      </c>
      <c r="H11" s="0"/>
      <c r="I11" s="2"/>
      <c r="J11" s="0"/>
      <c r="K11" s="2"/>
      <c r="L11" s="2">
        <f>IFERROR((IF($D11="","",VLOOKUP($D11,Prices!$A$2:$D$174,3,0))*$E11)+(IF($F11="","",VLOOKUP($F11,Prices!$A$2:$D$174,3,0))*$G11),"")</f>
        <v>6848</v>
      </c>
      <c r="M11" s="2">
        <f>IFERROR(VLOOKUP($A11,Prices!$A$2:$D$174,4,0),"")</f>
        <v>571</v>
      </c>
      <c r="N11" s="2">
        <f>IF(ISNUMBER(SEARCH("(4)",$A11)),IFERROR(VLOOKUP(SUBSTITUTE($A11,"(4)","(2)"),Prices!$A$2:$D$174,4,0),""),"")</f>
        <v>336</v>
      </c>
      <c r="O11" s="2">
        <f>IFERROR((IF($F11="","",VLOOKUP($F11,Prices!$A$2:$D$174,3,0))*$G11),"")</f>
        <v>675</v>
      </c>
      <c r="P11" s="2">
        <f>IF(OR($L11="",$M11=""),"",(3+0.15*'Top 8'!$J$4)*($M11+$N11)/6-($L11-0.1*'Top 8'!$J$5*$O11))</f>
        <v>-6304.325</v>
      </c>
      <c r="Q11" s="2">
        <f>IF($P11="","",$P11*3000)</f>
        <v>-18912975</v>
      </c>
      <c r="R11" s="5">
        <f>IF($P11="","",$P11+ROW()/1000000)</f>
        <v>-6304.324987999999</v>
      </c>
    </row>
    <row r="12">
      <c r="A12" s="0" t="inlineStr">
        <is>
          <t xml:space="preserve">Agility potion(4)</t>
        </is>
      </c>
      <c r="B12" s="2">
        <v>34</v>
      </c>
      <c r="C12" s="4">
        <v>80</v>
      </c>
      <c r="D12" s="0" t="inlineStr">
        <is>
          <t xml:space="preserve">toadflax potion (unf)</t>
        </is>
      </c>
      <c r="E12" s="2">
        <v>1</v>
      </c>
      <c r="F12" s="0" t="inlineStr">
        <is>
          <t xml:space="preserve">Toad's legs</t>
        </is>
      </c>
      <c r="G12" s="2">
        <v>1</v>
      </c>
      <c r="H12" s="0"/>
      <c r="I12" s="2"/>
      <c r="J12" s="0"/>
      <c r="K12" s="2"/>
      <c r="L12" s="2">
        <f>IFERROR((IF($D12="","",VLOOKUP($D12,Prices!$A$2:$D$174,3,0))*$E12)+(IF($F12="","",VLOOKUP($F12,Prices!$A$2:$D$174,3,0))*$G12),"")</f>
        <v>2917</v>
      </c>
      <c r="M12" s="2">
        <f>IFERROR(VLOOKUP($A12,Prices!$A$2:$D$174,4,0),"")</f>
        <v>350</v>
      </c>
      <c r="N12" s="2">
        <f>IF(ISNUMBER(SEARCH("(4)",$A12)),IFERROR(VLOOKUP(SUBSTITUTE($A12,"(4)","(2)"),Prices!$A$2:$D$174,4,0),""),"")</f>
        <v>206</v>
      </c>
      <c r="O12" s="2">
        <f>IFERROR((IF($F12="","",VLOOKUP($F12,Prices!$A$2:$D$174,3,0))*$G12),"")</f>
        <v>327</v>
      </c>
      <c r="P12" s="2">
        <f>IF(OR($L12="",$M12=""),"",(3+0.15*'Top 8'!$J$4)*($M12+$N12)/6-($L12-0.1*'Top 8'!$J$5*$O12))</f>
        <v>-2592.4</v>
      </c>
      <c r="Q12" s="2">
        <f>IF($P12="","",$P12*3000)</f>
        <v>-7777200</v>
      </c>
      <c r="R12" s="5">
        <f>IF($P12="","",$P12+ROW()/1000000)</f>
        <v>-2592.3999870000002</v>
      </c>
    </row>
    <row r="13">
      <c r="A13" s="0" t="inlineStr">
        <is>
          <t xml:space="preserve">Combat potion(4)</t>
        </is>
      </c>
      <c r="B13" s="2">
        <v>36</v>
      </c>
      <c r="C13" s="4">
        <v>84</v>
      </c>
      <c r="D13" s="0" t="inlineStr">
        <is>
          <t xml:space="preserve">harralander potion (unf)</t>
        </is>
      </c>
      <c r="E13" s="2">
        <v>1</v>
      </c>
      <c r="F13" s="0" t="inlineStr">
        <is>
          <t xml:space="preserve">Goat horn dust</t>
        </is>
      </c>
      <c r="G13" s="2">
        <v>1</v>
      </c>
      <c r="H13" s="0"/>
      <c r="I13" s="2"/>
      <c r="J13" s="0"/>
      <c r="K13" s="2"/>
      <c r="L13" s="2">
        <f>IFERROR((IF($D13="","",VLOOKUP($D13,Prices!$A$2:$D$174,3,0))*$E13)+(IF($F13="","",VLOOKUP($F13,Prices!$A$2:$D$174,3,0))*$G13),"")</f>
        <v>672</v>
      </c>
      <c r="M13" s="2">
        <f>IFERROR(VLOOKUP($A13,Prices!$A$2:$D$174,4,0),"")</f>
        <v>156</v>
      </c>
      <c r="N13" s="2">
        <f>IF(ISNUMBER(SEARCH("(4)",$A13)),IFERROR(VLOOKUP(SUBSTITUTE($A13,"(4)","(2)"),Prices!$A$2:$D$174,4,0),""),"")</f>
        <v>158</v>
      </c>
      <c r="O13" s="2">
        <f>IFERROR((IF($F13="","",VLOOKUP($F13,Prices!$A$2:$D$174,3,0))*$G13),"")</f>
        <v>130</v>
      </c>
      <c r="P13" s="2">
        <f>IF(OR($L13="",$M13=""),"",(3+0.15*'Top 8'!$J$4)*($M13+$N13)/6-($L13-0.1*'Top 8'!$J$5*$O13))</f>
        <v>-494.15</v>
      </c>
      <c r="Q13" s="2">
        <f>IF($P13="","",$P13*3000)</f>
        <v>-1482450</v>
      </c>
      <c r="R13" s="5">
        <f>IF($P13="","",$P13+ROW()/1000000)</f>
        <v>-494.14998599999996</v>
      </c>
    </row>
    <row r="14">
      <c r="A14" s="0" t="inlineStr">
        <is>
          <t xml:space="preserve">Prayer potion(4)</t>
        </is>
      </c>
      <c r="B14" s="2">
        <v>38</v>
      </c>
      <c r="C14" s="4">
        <v>87.5</v>
      </c>
      <c r="D14" s="0" t="inlineStr">
        <is>
          <t xml:space="preserve">ranarr potion (unf)</t>
        </is>
      </c>
      <c r="E14" s="2">
        <v>1</v>
      </c>
      <c r="F14" s="0" t="inlineStr">
        <is>
          <t xml:space="preserve">Snape grass</t>
        </is>
      </c>
      <c r="G14" s="2">
        <v>1</v>
      </c>
      <c r="H14" s="0"/>
      <c r="I14" s="2"/>
      <c r="J14" s="0"/>
      <c r="K14" s="2"/>
      <c r="L14" s="2">
        <f>IFERROR((IF($D14="","",VLOOKUP($D14,Prices!$A$2:$D$174,3,0))*$E14)+(IF($F14="","",VLOOKUP($F14,Prices!$A$2:$D$174,3,0))*$G14),"")</f>
        <v>7170</v>
      </c>
      <c r="M14" s="2">
        <f>IFERROR(VLOOKUP($A14,Prices!$A$2:$D$174,4,0),"")</f>
        <v>9473</v>
      </c>
      <c r="N14" s="2">
        <f>IF(ISNUMBER(SEARCH("(4)",$A14)),IFERROR(VLOOKUP(SUBSTITUTE($A14,"(4)","(2)"),Prices!$A$2:$D$174,4,0),""),"")</f>
        <v>4526</v>
      </c>
      <c r="O14" s="2">
        <f>IFERROR((IF($F14="","",VLOOKUP($F14,Prices!$A$2:$D$174,3,0))*$G14),"")</f>
        <v>997</v>
      </c>
      <c r="P14" s="2">
        <f>IF(OR($L14="",$M14=""),"",(3+0.15*'Top 8'!$J$4)*($M14+$N14)/6-($L14-0.1*'Top 8'!$J$5*$O14))</f>
        <v>279.1749999999993</v>
      </c>
      <c r="Q14" s="2">
        <f>IF($P14="","",$P14*3000)</f>
        <v>837524.9999999978</v>
      </c>
      <c r="R14" s="5">
        <f>IF($P14="","",$P14+ROW()/1000000)</f>
        <v>279.1750149999993</v>
      </c>
    </row>
    <row r="15">
      <c r="A15" s="0" t="inlineStr">
        <is>
          <t xml:space="preserve">Super attack(4)</t>
        </is>
      </c>
      <c r="B15" s="2">
        <v>45</v>
      </c>
      <c r="C15" s="4">
        <v>100</v>
      </c>
      <c r="D15" s="0" t="inlineStr">
        <is>
          <t xml:space="preserve">irit potion (unf)</t>
        </is>
      </c>
      <c r="E15" s="2">
        <v>1</v>
      </c>
      <c r="F15" s="0" t="inlineStr">
        <is>
          <t xml:space="preserve">Eye of newt</t>
        </is>
      </c>
      <c r="G15" s="2">
        <v>1</v>
      </c>
      <c r="H15" s="0"/>
      <c r="I15" s="2"/>
      <c r="J15" s="0"/>
      <c r="K15" s="2"/>
      <c r="L15" s="2">
        <f>IFERROR((IF($D15="","",VLOOKUP($D15,Prices!$A$2:$D$174,3,0))*$E15)+(IF($F15="","",VLOOKUP($F15,Prices!$A$2:$D$174,3,0))*$G15),"")</f>
        <v>1735</v>
      </c>
      <c r="M15" s="2">
        <f>IFERROR(VLOOKUP($A15,Prices!$A$2:$D$174,4,0),"")</f>
        <v>1885</v>
      </c>
      <c r="N15" s="2">
        <f>IF(ISNUMBER(SEARCH("(4)",$A15)),IFERROR(VLOOKUP(SUBSTITUTE($A15,"(4)","(2)"),Prices!$A$2:$D$174,4,0),""),"")</f>
        <v>906</v>
      </c>
      <c r="O15" s="2">
        <f>IFERROR((IF($F15="","",VLOOKUP($F15,Prices!$A$2:$D$174,3,0))*$G15),"")</f>
        <v>4</v>
      </c>
      <c r="P15" s="2">
        <f>IF(OR($L15="",$M15=""),"",(3+0.15*'Top 8'!$J$4)*($M15+$N15)/6-($L15-0.1*'Top 8'!$J$5*$O15))</f>
        <v>-269.3249999999998</v>
      </c>
      <c r="Q15" s="2">
        <f>IF($P15="","",$P15*3000)</f>
        <v>-807974.9999999994</v>
      </c>
      <c r="R15" s="5">
        <f>IF($P15="","",$P15+ROW()/1000000)</f>
        <v>-269.3249839999998</v>
      </c>
    </row>
    <row r="16">
      <c r="A16" s="0" t="inlineStr">
        <is>
          <t xml:space="preserve">Superantipoison(4)</t>
        </is>
      </c>
      <c r="B16" s="2">
        <v>48</v>
      </c>
      <c r="C16" s="4">
        <v>106.25</v>
      </c>
      <c r="D16" s="0" t="inlineStr">
        <is>
          <t xml:space="preserve">irit potion (unf)</t>
        </is>
      </c>
      <c r="E16" s="2">
        <v>1</v>
      </c>
      <c r="F16" s="0" t="inlineStr">
        <is>
          <t xml:space="preserve">Unicorn horn dust</t>
        </is>
      </c>
      <c r="G16" s="2">
        <v>1</v>
      </c>
      <c r="H16" s="0"/>
      <c r="I16" s="2"/>
      <c r="J16" s="0"/>
      <c r="K16" s="2"/>
      <c r="L16" s="2">
        <f>IFERROR((IF($D16="","",VLOOKUP($D16,Prices!$A$2:$D$174,3,0))*$E16)+(IF($F16="","",VLOOKUP($F16,Prices!$A$2:$D$174,3,0))*$G16),"")</f>
        <v>2430</v>
      </c>
      <c r="M16" s="2">
        <f>IFERROR(VLOOKUP($A16,Prices!$A$2:$D$174,4,0),"")</f>
        <v>1352</v>
      </c>
      <c r="N16" s="2">
        <f>IF(ISNUMBER(SEARCH("(4)",$A16)),IFERROR(VLOOKUP(SUBSTITUTE($A16,"(4)","(2)"),Prices!$A$2:$D$174,4,0),""),"")</f>
        <v>674</v>
      </c>
      <c r="O16" s="2">
        <f>IFERROR((IF($F16="","",VLOOKUP($F16,Prices!$A$2:$D$174,3,0))*$G16),"")</f>
        <v>699</v>
      </c>
      <c r="P16" s="2">
        <f>IF(OR($L16="",$M16=""),"",(3+0.15*'Top 8'!$J$4)*($M16+$N16)/6-($L16-0.1*'Top 8'!$J$5*$O16))</f>
        <v>-1296.4499999999998</v>
      </c>
      <c r="Q16" s="2">
        <f>IF($P16="","",$P16*3000)</f>
        <v>-3889349.9999999995</v>
      </c>
      <c r="R16" s="5">
        <f>IF($P16="","",$P16+ROW()/1000000)</f>
        <v>-1296.4499829999997</v>
      </c>
    </row>
    <row r="17">
      <c r="A17" s="0" t="inlineStr">
        <is>
          <t xml:space="preserve">Fishing potion(4)</t>
        </is>
      </c>
      <c r="B17" s="2">
        <v>50</v>
      </c>
      <c r="C17" s="4">
        <v>112.5</v>
      </c>
      <c r="D17" s="0" t="inlineStr">
        <is>
          <t xml:space="preserve">avantoe potion (unf)</t>
        </is>
      </c>
      <c r="E17" s="2">
        <v>1</v>
      </c>
      <c r="F17" s="0" t="inlineStr">
        <is>
          <t xml:space="preserve">Snape grass</t>
        </is>
      </c>
      <c r="G17" s="2">
        <v>1</v>
      </c>
      <c r="H17" s="0"/>
      <c r="I17" s="2"/>
      <c r="J17" s="0"/>
      <c r="K17" s="2"/>
      <c r="L17" s="2">
        <f>IFERROR((IF($D17="","",VLOOKUP($D17,Prices!$A$2:$D$174,3,0))*$E17)+(IF($F17="","",VLOOKUP($F17,Prices!$A$2:$D$174,3,0))*$G17),"")</f>
        <v>3464</v>
      </c>
      <c r="M17" s="2">
        <f>IFERROR(VLOOKUP($A17,Prices!$A$2:$D$174,4,0),"")</f>
        <v>83</v>
      </c>
      <c r="N17" s="2">
        <f>IF(ISNUMBER(SEARCH("(4)",$A17)),IFERROR(VLOOKUP(SUBSTITUTE($A17,"(4)","(2)"),Prices!$A$2:$D$174,4,0),""),"")</f>
        <v>75</v>
      </c>
      <c r="O17" s="2">
        <f>IFERROR((IF($F17="","",VLOOKUP($F17,Prices!$A$2:$D$174,3,0))*$G17),"")</f>
        <v>997</v>
      </c>
      <c r="P17" s="2">
        <f>IF(OR($L17="",$M17=""),"",(3+0.15*'Top 8'!$J$4)*($M17+$N17)/6-($L17-0.1*'Top 8'!$J$5*$O17))</f>
        <v>-3281.3500000000004</v>
      </c>
      <c r="Q17" s="2">
        <f>IF($P17="","",$P17*3000)</f>
        <v>-9844050.000000002</v>
      </c>
      <c r="R17" s="5">
        <f>IF($P17="","",$P17+ROW()/1000000)</f>
        <v>-3281.349982</v>
      </c>
    </row>
    <row r="18">
      <c r="A18" s="0" t="inlineStr">
        <is>
          <t xml:space="preserve">Super energy(4)</t>
        </is>
      </c>
      <c r="B18" s="2">
        <v>52</v>
      </c>
      <c r="C18" s="4">
        <v>117.5</v>
      </c>
      <c r="D18" s="0" t="inlineStr">
        <is>
          <t xml:space="preserve">avantoe potion (unf)</t>
        </is>
      </c>
      <c r="E18" s="2">
        <v>1</v>
      </c>
      <c r="F18" s="0" t="inlineStr">
        <is>
          <t xml:space="preserve">Mort myre fungus</t>
        </is>
      </c>
      <c r="G18" s="2">
        <v>1</v>
      </c>
      <c r="H18" s="0"/>
      <c r="I18" s="2"/>
      <c r="J18" s="0"/>
      <c r="K18" s="2"/>
      <c r="L18" s="2">
        <f>IFERROR((IF($D18="","",VLOOKUP($D18,Prices!$A$2:$D$174,3,0))*$E18)+(IF($F18="","",VLOOKUP($F18,Prices!$A$2:$D$174,3,0))*$G18),"")</f>
        <v>2687</v>
      </c>
      <c r="M18" s="2">
        <f>IFERROR(VLOOKUP($A18,Prices!$A$2:$D$174,4,0),"")</f>
        <v>2566</v>
      </c>
      <c r="N18" s="2">
        <f>IF(ISNUMBER(SEARCH("(4)",$A18)),IFERROR(VLOOKUP(SUBSTITUTE($A18,"(4)","(2)"),Prices!$A$2:$D$174,4,0),""),"")</f>
        <v>1723</v>
      </c>
      <c r="O18" s="2">
        <f>IFERROR((IF($F18="","",VLOOKUP($F18,Prices!$A$2:$D$174,3,0))*$G18),"")</f>
        <v>220</v>
      </c>
      <c r="P18" s="2">
        <f>IF(OR($L18="",$M18=""),"",(3+0.15*'Top 8'!$J$4)*($M18+$N18)/6-($L18-0.1*'Top 8'!$J$5*$O18))</f>
        <v>-413.2750000000001</v>
      </c>
      <c r="Q18" s="2">
        <f>IF($P18="","",$P18*3000)</f>
        <v>-1239825.0000000002</v>
      </c>
      <c r="R18" s="5">
        <f>IF($P18="","",$P18+ROW()/1000000)</f>
        <v>-413.2749810000001</v>
      </c>
    </row>
    <row r="19">
      <c r="A19" s="0" t="inlineStr">
        <is>
          <t xml:space="preserve">Hunter potion(4)</t>
        </is>
      </c>
      <c r="B19" s="2">
        <v>53</v>
      </c>
      <c r="C19" s="4">
        <v>120</v>
      </c>
      <c r="D19" s="0" t="inlineStr">
        <is>
          <t xml:space="preserve">avantoe potion (unf)</t>
        </is>
      </c>
      <c r="E19" s="2">
        <v>1</v>
      </c>
      <c r="F19" s="0" t="inlineStr">
        <is>
          <t xml:space="preserve">Kebbit teeth dust</t>
        </is>
      </c>
      <c r="G19" s="2">
        <v>1</v>
      </c>
      <c r="H19" s="0"/>
      <c r="I19" s="2"/>
      <c r="J19" s="0"/>
      <c r="K19" s="2"/>
      <c r="L19" s="2">
        <f>IFERROR((IF($D19="","",VLOOKUP($D19,Prices!$A$2:$D$174,3,0))*$E19)+(IF($F19="","",VLOOKUP($F19,Prices!$A$2:$D$174,3,0))*$G19),"")</f>
        <v>3232</v>
      </c>
      <c r="M19" s="2">
        <f>IFERROR(VLOOKUP($A19,Prices!$A$2:$D$174,4,0),"")</f>
        <v>560</v>
      </c>
      <c r="N19" s="2">
        <f>IF(ISNUMBER(SEARCH("(4)",$A19)),IFERROR(VLOOKUP(SUBSTITUTE($A19,"(4)","(2)"),Prices!$A$2:$D$174,4,0),""),"")</f>
        <v>1154</v>
      </c>
      <c r="O19" s="2">
        <f>IFERROR((IF($F19="","",VLOOKUP($F19,Prices!$A$2:$D$174,3,0))*$G19),"")</f>
        <v>765</v>
      </c>
      <c r="P19" s="2">
        <f>IF(OR($L19="",$M19=""),"",(3+0.15*'Top 8'!$J$4)*($M19+$N19)/6-($L19-0.1*'Top 8'!$J$5*$O19))</f>
        <v>-2255.65</v>
      </c>
      <c r="Q19" s="2">
        <f>IF($P19="","",$P19*3000)</f>
        <v>-6766950</v>
      </c>
      <c r="R19" s="5">
        <f>IF($P19="","",$P19+ROW()/1000000)</f>
        <v>-2255.64998</v>
      </c>
    </row>
    <row r="20">
      <c r="A20" s="0" t="inlineStr">
        <is>
          <t xml:space="preserve">Goading potion(4)</t>
        </is>
      </c>
      <c r="B20" s="2">
        <v>54</v>
      </c>
      <c r="C20" s="4">
        <v>132</v>
      </c>
      <c r="D20" s="0" t="inlineStr">
        <is>
          <t xml:space="preserve">harralander potion (unf)</t>
        </is>
      </c>
      <c r="E20" s="2">
        <v>1</v>
      </c>
      <c r="F20" s="0" t="inlineStr">
        <is>
          <t xml:space="preserve">Aldarium</t>
        </is>
      </c>
      <c r="G20" s="2">
        <v>1</v>
      </c>
      <c r="H20" s="0"/>
      <c r="I20" s="2"/>
      <c r="J20" s="0"/>
      <c r="K20" s="2"/>
      <c r="L20" s="2">
        <f>IFERROR((IF($D20="","",VLOOKUP($D20,Prices!$A$2:$D$174,3,0))*$E20)+(IF($F20="","",VLOOKUP($F20,Prices!$A$2:$D$174,3,0))*$G20),"")</f>
        <v>49560</v>
      </c>
      <c r="M20" s="2">
        <f>IFERROR(VLOOKUP($A20,Prices!$A$2:$D$174,4,0),"")</f>
        <v>58337</v>
      </c>
      <c r="N20" s="2">
        <f>IF(ISNUMBER(SEARCH("(4)",$A20)),IFERROR(VLOOKUP(SUBSTITUTE($A20,"(4)","(2)"),Prices!$A$2:$D$174,4,0),""),"")</f>
        <v>31237</v>
      </c>
      <c r="O20" s="2">
        <f>IFERROR((IF($F20="","",VLOOKUP($F20,Prices!$A$2:$D$174,3,0))*$G20),"")</f>
        <v>49018</v>
      </c>
      <c r="P20" s="2">
        <f>IF(OR($L20="",$M20=""),"",(3+0.15*'Top 8'!$J$4)*($M20+$N20)/6-($L20-0.1*'Top 8'!$J$5*$O20))</f>
        <v>2368.1500000000015</v>
      </c>
      <c r="Q20" s="2">
        <f>IF($P20="","",$P20*3000)</f>
        <v>7104450.000000005</v>
      </c>
      <c r="R20" s="5">
        <f>IF($P20="","",$P20+ROW()/1000000)</f>
        <v>2368.1500210000013</v>
      </c>
    </row>
    <row r="21">
      <c r="A21" s="0" t="inlineStr">
        <is>
          <t xml:space="preserve">Super strength(4)</t>
        </is>
      </c>
      <c r="B21" s="2">
        <v>55</v>
      </c>
      <c r="C21" s="4">
        <v>125</v>
      </c>
      <c r="D21" s="0" t="inlineStr">
        <is>
          <t xml:space="preserve">kwuarm potion (unf)</t>
        </is>
      </c>
      <c r="E21" s="2">
        <v>1</v>
      </c>
      <c r="F21" s="0" t="inlineStr">
        <is>
          <t xml:space="preserve">Limpwurt root</t>
        </is>
      </c>
      <c r="G21" s="2">
        <v>1</v>
      </c>
      <c r="H21" s="0"/>
      <c r="I21" s="2"/>
      <c r="J21" s="0"/>
      <c r="K21" s="2"/>
      <c r="L21" s="2">
        <f>IFERROR((IF($D21="","",VLOOKUP($D21,Prices!$A$2:$D$174,3,0))*$E21)+(IF($F21="","",VLOOKUP($F21,Prices!$A$2:$D$174,3,0))*$G21),"")</f>
        <v>2831</v>
      </c>
      <c r="M21" s="2">
        <f>IFERROR(VLOOKUP($A21,Prices!$A$2:$D$174,4,0),"")</f>
        <v>3039</v>
      </c>
      <c r="N21" s="2">
        <f>IF(ISNUMBER(SEARCH("(4)",$A21)),IFERROR(VLOOKUP(SUBSTITUTE($A21,"(4)","(2)"),Prices!$A$2:$D$174,4,0),""),"")</f>
        <v>1451</v>
      </c>
      <c r="O21" s="2">
        <f>IFERROR((IF($F21="","",VLOOKUP($F21,Prices!$A$2:$D$174,3,0))*$G21),"")</f>
        <v>221</v>
      </c>
      <c r="P21" s="2">
        <f>IF(OR($L21="",$M21=""),"",(3+0.15*'Top 8'!$J$4)*($M21+$N21)/6-($L21-0.1*'Top 8'!$J$5*$O21))</f>
        <v>-451.6500000000001</v>
      </c>
      <c r="Q21" s="2">
        <f>IF($P21="","",$P21*3000)</f>
        <v>-1354950.0000000002</v>
      </c>
      <c r="R21" s="5">
        <f>IF($P21="","",$P21+ROW()/1000000)</f>
        <v>-451.6499780000001</v>
      </c>
    </row>
    <row r="22">
      <c r="A22" s="0" t="inlineStr">
        <is>
          <t xml:space="preserve">Haemostatic poultice</t>
        </is>
      </c>
      <c r="B22" s="2">
        <v>56</v>
      </c>
      <c r="C22" s="4">
        <v>27</v>
      </c>
      <c r="D22" s="0" t="inlineStr">
        <is>
          <t xml:space="preserve">elkhorn potion (unf)</t>
        </is>
      </c>
      <c r="E22" s="2">
        <v>1</v>
      </c>
      <c r="F22" s="0" t="inlineStr">
        <is>
          <t xml:space="preserve">Squid paste</t>
        </is>
      </c>
      <c r="G22" s="2">
        <v>1</v>
      </c>
      <c r="H22" s="0"/>
      <c r="I22" s="2"/>
      <c r="J22" s="0"/>
      <c r="K22" s="2"/>
      <c r="L22" s="2">
        <f>IFERROR((IF($D22="","",VLOOKUP($D22,Prices!$A$2:$D$174,3,0))*$E22)+(IF($F22="","",VLOOKUP($F22,Prices!$A$2:$D$174,3,0))*$G22),"")</f>
        <v>2411</v>
      </c>
      <c r="M22" s="2">
        <f>IFERROR(VLOOKUP($A22,Prices!$A$2:$D$174,4,0),"")</f>
        <v>3154</v>
      </c>
      <c r="N22" s="2">
        <f>IF(ISNUMBER(SEARCH("(4)",$A22)),IFERROR(VLOOKUP(SUBSTITUTE($A22,"(4)","(2)"),Prices!$A$2:$D$174,4,0),""),"")</f>
      </c>
      <c r="O22" s="2">
        <f>IFERROR((IF($F22="","",VLOOKUP($F22,Prices!$A$2:$D$174,3,0))*$G22),"")</f>
        <v>1211</v>
      </c>
      <c r="P22" s="2">
        <f>IF(OR($L22="",$M22=""),"",$M22-($L22-0.1*'Top 8'!$J$5*$O22))</f>
        <v>864.0999999999999</v>
      </c>
      <c r="Q22" s="2">
        <f>IF($P22="","",$P22*3000)</f>
        <v>2592299.9999999995</v>
      </c>
      <c r="R22" s="5">
        <f>IF($P22="","",$P22+ROW()/1000000)</f>
        <v>864.100023</v>
      </c>
    </row>
    <row r="23">
      <c r="A23" s="0" t="inlineStr">
        <is>
          <t xml:space="preserve">Haemostatic dressing (4)</t>
        </is>
      </c>
      <c r="B23" s="2">
        <v>56</v>
      </c>
      <c r="C23" s="4">
        <v>100</v>
      </c>
      <c r="D23" s="0" t="inlineStr">
        <is>
          <t xml:space="preserve">Haemostatic poultice</t>
        </is>
      </c>
      <c r="E23" s="2">
        <v>1</v>
      </c>
      <c r="F23" s="0" t="inlineStr">
        <is>
          <t xml:space="preserve">Cotton yarn</t>
        </is>
      </c>
      <c r="G23" s="2">
        <v>1</v>
      </c>
      <c r="H23" s="0"/>
      <c r="I23" s="2"/>
      <c r="J23" s="0"/>
      <c r="K23" s="2"/>
      <c r="L23" s="2">
        <f>IFERROR((IF($D23="","",VLOOKUP($D23,Prices!$A$2:$D$174,3,0))*$E23)+(IF($F23="","",VLOOKUP($F23,Prices!$A$2:$D$174,3,0))*$G23),"")</f>
        <v>5155</v>
      </c>
      <c r="M23" s="2">
        <f>IFERROR(VLOOKUP($A23,Prices!$A$2:$D$174,4,0),"")</f>
        <v>6328</v>
      </c>
      <c r="N23" s="2">
        <f>IF(ISNUMBER(SEARCH("(4)",$A23)),IFERROR(VLOOKUP(SUBSTITUTE($A23,"(4)","(2)"),Prices!$A$2:$D$174,4,0),""),"")</f>
        <v>2793</v>
      </c>
      <c r="O23" s="2">
        <f>IFERROR((IF($F23="","",VLOOKUP($F23,Prices!$A$2:$D$174,3,0))*$G23),"")</f>
        <v>1937</v>
      </c>
      <c r="P23" s="2">
        <f>IF(OR($L23="",$M23=""),"",(3+0.15*'Top 8'!$J$4)*($M23+$N23)/6-($L23-0.1*'Top 8'!$J$5*$O23))</f>
        <v>-172.77499999999964</v>
      </c>
      <c r="Q23" s="2">
        <f>IF($P23="","",$P23*3000)</f>
        <v>-518324.9999999989</v>
      </c>
      <c r="R23" s="5">
        <f>IF($P23="","",$P23+ROW()/1000000)</f>
        <v>-172.77497599999964</v>
      </c>
    </row>
    <row r="24">
      <c r="A24" s="0" t="inlineStr">
        <is>
          <t xml:space="preserve">Prayer regeneration potion(4)</t>
        </is>
      </c>
      <c r="B24" s="2">
        <v>58</v>
      </c>
      <c r="C24" s="4">
        <v>132</v>
      </c>
      <c r="D24" s="0" t="inlineStr">
        <is>
          <t xml:space="preserve">huasca potion (unf)</t>
        </is>
      </c>
      <c r="E24" s="2">
        <v>1</v>
      </c>
      <c r="F24" s="0" t="inlineStr">
        <is>
          <t xml:space="preserve">Aldarium</t>
        </is>
      </c>
      <c r="G24" s="2">
        <v>1</v>
      </c>
      <c r="H24" s="0"/>
      <c r="I24" s="2"/>
      <c r="J24" s="0"/>
      <c r="K24" s="2"/>
      <c r="L24" s="2">
        <f>IFERROR((IF($D24="","",VLOOKUP($D24,Prices!$A$2:$D$174,3,0))*$E24)+(IF($F24="","",VLOOKUP($F24,Prices!$A$2:$D$174,3,0))*$G24),"")</f>
        <v>57078</v>
      </c>
      <c r="M24" s="2">
        <f>IFERROR(VLOOKUP($A24,Prices!$A$2:$D$174,4,0),"")</f>
        <v>68159</v>
      </c>
      <c r="N24" s="2">
        <f>IF(ISNUMBER(SEARCH("(4)",$A24)),IFERROR(VLOOKUP(SUBSTITUTE($A24,"(4)","(2)"),Prices!$A$2:$D$174,4,0),""),"")</f>
        <v>36398</v>
      </c>
      <c r="O24" s="2">
        <f>IFERROR((IF($F24="","",VLOOKUP($F24,Prices!$A$2:$D$174,3,0))*$G24),"")</f>
        <v>49018</v>
      </c>
      <c r="P24" s="2">
        <f>IF(OR($L24="",$M24=""),"",(3+0.15*'Top 8'!$J$4)*($M24+$N24)/6-($L24-0.1*'Top 8'!$J$5*$O24))</f>
        <v>2716.225000000006</v>
      </c>
      <c r="Q24" s="2">
        <f>IF($P24="","",$P24*3000)</f>
        <v>8148675.000000018</v>
      </c>
      <c r="R24" s="5">
        <f>IF($P24="","",$P24+ROW()/1000000)</f>
        <v>2716.2250250000056</v>
      </c>
    </row>
    <row r="25">
      <c r="A25" s="0" t="inlineStr">
        <is>
          <t xml:space="preserve">Weapon poison</t>
        </is>
      </c>
      <c r="B25" s="2">
        <v>60</v>
      </c>
      <c r="C25" s="4">
        <v>137.5</v>
      </c>
      <c r="D25" s="0" t="inlineStr">
        <is>
          <t xml:space="preserve">kwuarm potion (unf)</t>
        </is>
      </c>
      <c r="E25" s="2">
        <v>1</v>
      </c>
      <c r="F25" s="0" t="inlineStr">
        <is>
          <t xml:space="preserve">Dragon scale dust</t>
        </is>
      </c>
      <c r="G25" s="2">
        <v>1</v>
      </c>
      <c r="H25" s="0"/>
      <c r="I25" s="2"/>
      <c r="J25" s="0"/>
      <c r="K25" s="2"/>
      <c r="L25" s="2">
        <f>IFERROR((IF($D25="","",VLOOKUP($D25,Prices!$A$2:$D$174,3,0))*$E25)+(IF($F25="","",VLOOKUP($F25,Prices!$A$2:$D$174,3,0))*$G25),"")</f>
        <v>2680</v>
      </c>
      <c r="M25" s="2">
        <f>IFERROR(VLOOKUP($A25,Prices!$A$2:$D$174,4,0),"")</f>
        <v>280</v>
      </c>
      <c r="N25" s="2">
        <f>IF(ISNUMBER(SEARCH("(4)",$A25)),IFERROR(VLOOKUP(SUBSTITUTE($A25,"(4)","(2)"),Prices!$A$2:$D$174,4,0),""),"")</f>
      </c>
      <c r="O25" s="2">
        <f>IFERROR((IF($F25="","",VLOOKUP($F25,Prices!$A$2:$D$174,3,0))*$G25),"")</f>
        <v>70</v>
      </c>
      <c r="P25" s="2">
        <f>IF(OR($L25="",$M25=""),"",$M25-($L25-0.1*'Top 8'!$J$5*$O25))</f>
        <v>-2393</v>
      </c>
      <c r="Q25" s="2">
        <f>IF($P25="","",$P25*3000)</f>
        <v>-7179000</v>
      </c>
      <c r="R25" s="5">
        <f>IF($P25="","",$P25+ROW()/1000000)</f>
        <v>-2392.999974</v>
      </c>
    </row>
    <row r="26">
      <c r="A26" s="0" t="inlineStr">
        <is>
          <t xml:space="preserve">Super fishing potion(4)</t>
        </is>
      </c>
      <c r="B26" s="2">
        <v>62</v>
      </c>
      <c r="C26" s="4">
        <v>140.5</v>
      </c>
      <c r="D26" s="0" t="inlineStr">
        <is>
          <t xml:space="preserve">pillar potion (unf)</t>
        </is>
      </c>
      <c r="E26" s="2">
        <v>1</v>
      </c>
      <c r="F26" s="0" t="inlineStr">
        <is>
          <t xml:space="preserve">Haddock eye</t>
        </is>
      </c>
      <c r="G26" s="2">
        <v>1</v>
      </c>
      <c r="H26" s="0"/>
      <c r="I26" s="2"/>
      <c r="J26" s="0"/>
      <c r="K26" s="2"/>
      <c r="L26" s="2">
        <f>IFERROR((IF($D26="","",VLOOKUP($D26,Prices!$A$2:$D$174,3,0))*$E26)+(IF($F26="","",VLOOKUP($F26,Prices!$A$2:$D$174,3,0))*$G26),"")</f>
        <v>2701</v>
      </c>
      <c r="M26" s="2">
        <f>IFERROR(VLOOKUP($A26,Prices!$A$2:$D$174,4,0),"")</f>
        <v>1875</v>
      </c>
      <c r="N26" s="2">
        <f>IF(ISNUMBER(SEARCH("(4)",$A26)),IFERROR(VLOOKUP(SUBSTITUTE($A26,"(4)","(2)"),Prices!$A$2:$D$174,4,0),""),"")</f>
        <v>2052</v>
      </c>
      <c r="O26" s="2">
        <f>IFERROR((IF($F26="","",VLOOKUP($F26,Prices!$A$2:$D$174,3,0))*$G26),"")</f>
        <v>90</v>
      </c>
      <c r="P26" s="2">
        <f>IF(OR($L26="",$M26=""),"",(3+0.15*'Top 8'!$J$4)*($M26+$N26)/6-($L26-0.1*'Top 8'!$J$5*$O26))</f>
        <v>-630.3250000000003</v>
      </c>
      <c r="Q26" s="2">
        <f>IF($P26="","",$P26*3000)</f>
        <v>-1890975.000000001</v>
      </c>
      <c r="R26" s="5">
        <f>IF($P26="","",$P26+ROW()/1000000)</f>
        <v>-630.3249730000002</v>
      </c>
    </row>
    <row r="27">
      <c r="A27" s="0" t="inlineStr">
        <is>
          <t xml:space="preserve">Super restore(4)</t>
        </is>
      </c>
      <c r="B27" s="2">
        <v>63</v>
      </c>
      <c r="C27" s="4">
        <v>142.5</v>
      </c>
      <c r="D27" s="0" t="inlineStr">
        <is>
          <t xml:space="preserve">snapdragon potion (unf)</t>
        </is>
      </c>
      <c r="E27" s="2">
        <v>1</v>
      </c>
      <c r="F27" s="0" t="inlineStr">
        <is>
          <t xml:space="preserve">Red spiders' eggs</t>
        </is>
      </c>
      <c r="G27" s="2">
        <v>1</v>
      </c>
      <c r="H27" s="0"/>
      <c r="I27" s="2"/>
      <c r="J27" s="0"/>
      <c r="K27" s="2"/>
      <c r="L27" s="2">
        <f>IFERROR((IF($D27="","",VLOOKUP($D27,Prices!$A$2:$D$174,3,0))*$E27)+(IF($F27="","",VLOOKUP($F27,Prices!$A$2:$D$174,3,0))*$G27),"")</f>
        <v>8084</v>
      </c>
      <c r="M27" s="2">
        <f>IFERROR(VLOOKUP($A27,Prices!$A$2:$D$174,4,0),"")</f>
        <v>9810</v>
      </c>
      <c r="N27" s="2">
        <f>IF(ISNUMBER(SEARCH("(4)",$A27)),IFERROR(VLOOKUP(SUBSTITUTE($A27,"(4)","(2)"),Prices!$A$2:$D$174,4,0),""),"")</f>
        <v>4789</v>
      </c>
      <c r="O27" s="2">
        <f>IFERROR((IF($F27="","",VLOOKUP($F27,Prices!$A$2:$D$174,3,0))*$G27),"")</f>
        <v>184</v>
      </c>
      <c r="P27" s="2">
        <f>IF(OR($L27="",$M27=""),"",(3+0.15*'Top 8'!$J$4)*($M27+$N27)/6-($L27-0.1*'Top 8'!$J$5*$O27))</f>
        <v>-401.1250000000009</v>
      </c>
      <c r="Q27" s="2">
        <f>IF($P27="","",$P27*3000)</f>
        <v>-1203375.0000000028</v>
      </c>
      <c r="R27" s="5">
        <f>IF($P27="","",$P27+ROW()/1000000)</f>
        <v>-401.1249720000009</v>
      </c>
    </row>
    <row r="28">
      <c r="A28" s="0" t="inlineStr">
        <is>
          <t xml:space="preserve">Sanfew serum(4)</t>
        </is>
      </c>
      <c r="B28" s="2">
        <v>65</v>
      </c>
      <c r="C28" s="4">
        <v>160</v>
      </c>
      <c r="D28" s="0" t="inlineStr">
        <is>
          <t xml:space="preserve">Super restore(4)</t>
        </is>
      </c>
      <c r="E28" s="2">
        <v>1</v>
      </c>
      <c r="F28" s="0" t="inlineStr">
        <is>
          <t xml:space="preserve">Unicorn horn dust</t>
        </is>
      </c>
      <c r="G28" s="2">
        <v>1</v>
      </c>
      <c r="H28" s="0" t="inlineStr">
        <is>
          <t xml:space="preserve">Clean snake weed</t>
        </is>
      </c>
      <c r="I28" s="2">
        <v>1</v>
      </c>
      <c r="J28" s="0" t="inlineStr">
        <is>
          <t xml:space="preserve">Nail beast nails</t>
        </is>
      </c>
      <c r="K28" s="2">
        <v>1</v>
      </c>
      <c r="L28" s="2">
        <f>IFERROR((IF($D28="","",VLOOKUP($D28,Prices!$A$2:$D$174,3,0))*$E28)+(IF($F28="","",VLOOKUP($F28,Prices!$A$2:$D$174,3,0))*$G28)+(IF($H28="","",VLOOKUP($H28,Prices!$A$2:$D$174,3,0))*$I28)+(IF($J28="","",VLOOKUP($J28,Prices!$A$2:$D$174,3,0))*$K28)-0.25*((IF($D28="","",VLOOKUP($D28,Prices!$A$2:$D$174,3,0))*$E28)),"")</f>
      </c>
      <c r="M28" s="2">
        <f>IFERROR(VLOOKUP($A28,Prices!$A$2:$D$174,4,0),"")</f>
        <v>19090</v>
      </c>
      <c r="N28" s="2">
        <f>IF(ISNUMBER(SEARCH("(4)",$A28)),IFERROR(VLOOKUP(SUBSTITUTE($A28,"(4)","(2)"),Prices!$A$2:$D$174,4,0),""),"")</f>
        <v>8335</v>
      </c>
      <c r="O28" s="2">
        <f>IFERROR((IF($F28="","",VLOOKUP($F28,Prices!$A$2:$D$174,3,0))*$G28)+(IF($H28="","",VLOOKUP($H28,Prices!$A$2:$D$174,3,0))*$I28)+(IF($J28="","",VLOOKUP($J28,Prices!$A$2:$D$174,3,0))*$K28),"")</f>
      </c>
      <c r="P28" s="2">
        <f>IF(OR($L28="",$M28=""),"",(3+0.15*'Top 8'!$J$4)*($M28+$N28)/6-($L28-0.1*'Top 8'!$J$5*$O28))</f>
      </c>
      <c r="Q28" s="2">
        <f>IF($P28="","",$P28*3000)</f>
      </c>
      <c r="R28" s="5">
        <f>IF($P28="","",$P28+ROW()/1000000)</f>
      </c>
    </row>
    <row r="29">
      <c r="A29" s="0" t="inlineStr">
        <is>
          <t xml:space="preserve">Extreme energy potion(4)</t>
        </is>
      </c>
      <c r="B29" s="2">
        <v>66</v>
      </c>
      <c r="C29" s="4">
        <v>84</v>
      </c>
      <c r="D29" s="0" t="inlineStr">
        <is>
          <t xml:space="preserve">Super energy(4)</t>
        </is>
      </c>
      <c r="E29" s="2">
        <v>1</v>
      </c>
      <c r="F29" s="0" t="inlineStr">
        <is>
          <t xml:space="preserve">Yellow fin</t>
        </is>
      </c>
      <c r="G29" s="2">
        <v>4</v>
      </c>
      <c r="H29" s="0"/>
      <c r="I29" s="2"/>
      <c r="J29" s="0"/>
      <c r="K29" s="2"/>
      <c r="L29" s="2">
        <f>IFERROR(0.75*((IF($D29="","",VLOOKUP($D29,Prices!$A$2:$D$174,3,0))*$E29)+(IF($F29="","",VLOOKUP($F29,Prices!$A$2:$D$174,3,0))*$G29)),"")</f>
        <v>2524.5</v>
      </c>
      <c r="M29" s="2">
        <f>IFERROR(VLOOKUP($A29,Prices!$A$2:$D$174,4,0),"")</f>
        <v>2250</v>
      </c>
      <c r="N29" s="2">
        <f>IF(ISNUMBER(SEARCH("(4)",$A29)),IFERROR(VLOOKUP(SUBSTITUTE($A29,"(4)","(2)"),Prices!$A$2:$D$174,4,0),""),"")</f>
        <v>2331</v>
      </c>
      <c r="O29" s="2">
        <f>IFERROR(0.75*((IF($F29="","",VLOOKUP($F29,Prices!$A$2:$D$174,3,0))*$G29)),"")</f>
        <v>561</v>
      </c>
      <c r="P29" s="2">
        <f>IF(OR($L29="",$M29=""),"",(3+0.15*'Top 8'!$J$4)*($M29+$N29)/6-($L29-0.1*'Top 8'!$J$5*$O29))</f>
        <v>-63.375</v>
      </c>
      <c r="Q29" s="2">
        <f>IF($P29="","",$P29*3000)</f>
        <v>-190125</v>
      </c>
      <c r="R29" s="5">
        <f>IF($P29="","",$P29+ROW()/1000000)</f>
        <v>-63.37497</v>
      </c>
    </row>
    <row r="30">
      <c r="A30" s="0" t="inlineStr">
        <is>
          <t xml:space="preserve">Super defence(4)</t>
        </is>
      </c>
      <c r="B30" s="2">
        <v>66</v>
      </c>
      <c r="C30" s="4">
        <v>150</v>
      </c>
      <c r="D30" s="0" t="inlineStr">
        <is>
          <t xml:space="preserve">cadantine potion (unf)</t>
        </is>
      </c>
      <c r="E30" s="2">
        <v>1</v>
      </c>
      <c r="F30" s="0" t="inlineStr">
        <is>
          <t xml:space="preserve">White berries</t>
        </is>
      </c>
      <c r="G30" s="2">
        <v>1</v>
      </c>
      <c r="H30" s="0"/>
      <c r="I30" s="2"/>
      <c r="J30" s="0"/>
      <c r="K30" s="2"/>
      <c r="L30" s="2">
        <f>IFERROR((IF($D30="","",VLOOKUP($D30,Prices!$A$2:$D$174,3,0))*$E30)+(IF($F30="","",VLOOKUP($F30,Prices!$A$2:$D$174,3,0))*$G30),"")</f>
        <v>3245</v>
      </c>
      <c r="M30" s="2">
        <f>IFERROR(VLOOKUP($A30,Prices!$A$2:$D$174,4,0),"")</f>
        <v>3073</v>
      </c>
      <c r="N30" s="2">
        <f>IF(ISNUMBER(SEARCH("(4)",$A30)),IFERROR(VLOOKUP(SUBSTITUTE($A30,"(4)","(2)"),Prices!$A$2:$D$174,4,0),""),"")</f>
        <v>1537</v>
      </c>
      <c r="O30" s="2">
        <f>IFERROR((IF($F30="","",VLOOKUP($F30,Prices!$A$2:$D$174,3,0))*$G30),"")</f>
        <v>675</v>
      </c>
      <c r="P30" s="2">
        <f>IF(OR($L30="",$M30=""),"",(3+0.15*'Top 8'!$J$4)*($M30+$N30)/6-($L30-0.1*'Top 8'!$J$5*$O30))</f>
        <v>-757.25</v>
      </c>
      <c r="Q30" s="2">
        <f>IF($P30="","",$P30*3000)</f>
        <v>-2271750</v>
      </c>
      <c r="R30" s="5">
        <f>IF($P30="","",$P30+ROW()/1000000)</f>
        <v>-757.249969</v>
      </c>
    </row>
    <row r="31">
      <c r="A31" s="0" t="inlineStr">
        <is>
          <t xml:space="preserve">Super hunter potion(4)</t>
        </is>
      </c>
      <c r="B31" s="2">
        <v>67</v>
      </c>
      <c r="C31" s="4">
        <v>154</v>
      </c>
      <c r="D31" s="0" t="inlineStr">
        <is>
          <t xml:space="preserve">pillar potion (unf)</t>
        </is>
      </c>
      <c r="E31" s="2">
        <v>1</v>
      </c>
      <c r="F31" s="0" t="inlineStr">
        <is>
          <t xml:space="preserve">Crab paste</t>
        </is>
      </c>
      <c r="G31" s="2">
        <v>1</v>
      </c>
      <c r="H31" s="0"/>
      <c r="I31" s="2"/>
      <c r="J31" s="0"/>
      <c r="K31" s="2"/>
      <c r="L31" s="2">
        <f>IFERROR((IF($D31="","",VLOOKUP($D31,Prices!$A$2:$D$174,3,0))*$E31)+(IF($F31="","",VLOOKUP($F31,Prices!$A$2:$D$174,3,0))*$G31),"")</f>
        <v>2694</v>
      </c>
      <c r="M31" s="2">
        <f>IFERROR(VLOOKUP($A31,Prices!$A$2:$D$174,4,0),"")</f>
        <v>760</v>
      </c>
      <c r="N31" s="2">
        <f>IF(ISNUMBER(SEARCH("(4)",$A31)),IFERROR(VLOOKUP(SUBSTITUTE($A31,"(4)","(2)"),Prices!$A$2:$D$174,4,0),""),"")</f>
        <v>2166</v>
      </c>
      <c r="O31" s="2">
        <f>IFERROR((IF($F31="","",VLOOKUP($F31,Prices!$A$2:$D$174,3,0))*$G31),"")</f>
        <v>83</v>
      </c>
      <c r="P31" s="2">
        <f>IF(OR($L31="",$M31=""),"",(3+0.15*'Top 8'!$J$4)*($M31+$N31)/6-($L31-0.1*'Top 8'!$J$5*$O31))</f>
        <v>-1149.5499999999997</v>
      </c>
      <c r="Q31" s="2">
        <f>IF($P31="","",$P31*3000)</f>
        <v>-3448649.999999999</v>
      </c>
      <c r="R31" s="5">
        <f>IF($P31="","",$P31+ROW()/1000000)</f>
        <v>-1149.5499679999998</v>
      </c>
    </row>
    <row r="32">
      <c r="A32" s="0" t="inlineStr">
        <is>
          <t xml:space="preserve">Antidote+(4)</t>
        </is>
      </c>
      <c r="B32" s="2">
        <v>68</v>
      </c>
      <c r="C32" s="4">
        <v>155</v>
      </c>
      <c r="D32" s="0" t="inlineStr">
        <is>
          <t xml:space="preserve">Coconut milk</t>
        </is>
      </c>
      <c r="E32" s="2">
        <v>1</v>
      </c>
      <c r="F32" s="0" t="inlineStr">
        <is>
          <t xml:space="preserve">Toadflax</t>
        </is>
      </c>
      <c r="G32" s="2">
        <v>1</v>
      </c>
      <c r="H32" s="0" t="inlineStr">
        <is>
          <t xml:space="preserve">Yew roots</t>
        </is>
      </c>
      <c r="I32" s="2">
        <v>1</v>
      </c>
      <c r="J32" s="0"/>
      <c r="K32" s="2"/>
      <c r="L32" s="2">
        <f>IFERROR((IF($D32="","",VLOOKUP($D32,Prices!$A$2:$D$174,3,0))*$E32)+(IF($F32="","",VLOOKUP($F32,Prices!$A$2:$D$174,3,0))*$G32)+(IF($H32="","",VLOOKUP($H32,Prices!$A$2:$D$174,3,0))*$I32),"")</f>
        <v>2619</v>
      </c>
      <c r="M32" s="2">
        <f>IFERROR(VLOOKUP($A32,Prices!$A$2:$D$174,4,0),"")</f>
        <v>1608</v>
      </c>
      <c r="N32" s="2">
        <f>IF(ISNUMBER(SEARCH("(4)",$A32)),IFERROR(VLOOKUP(SUBSTITUTE($A32,"(4)","(2)"),Prices!$A$2:$D$174,4,0),""),"")</f>
        <v>1297</v>
      </c>
      <c r="O32" s="2">
        <f>IFERROR((IF($H32="","",VLOOKUP($H32,Prices!$A$2:$D$174,3,0))*$I32),"")</f>
        <v>71</v>
      </c>
      <c r="P32" s="2">
        <f>IF(OR($L32="",$M32=""),"",$M32-($L32-0.1*'Top 8'!$J$5*$O32))</f>
        <v>-1003.9000000000001</v>
      </c>
      <c r="Q32" s="2">
        <f>IF($P32="","",$P32*3000)</f>
        <v>-3011700.0000000005</v>
      </c>
      <c r="R32" s="5">
        <f>IF($P32="","",$P32+ROW()/1000000)</f>
        <v>-1003.8999670000001</v>
      </c>
    </row>
    <row r="33">
      <c r="A33" s="0" t="inlineStr">
        <is>
          <t xml:space="preserve">Antifire potion(4)</t>
        </is>
      </c>
      <c r="B33" s="2">
        <v>69</v>
      </c>
      <c r="C33" s="4">
        <v>157.5</v>
      </c>
      <c r="D33" s="0" t="inlineStr">
        <is>
          <t xml:space="preserve">lantadyme potion (unf)</t>
        </is>
      </c>
      <c r="E33" s="2">
        <v>1</v>
      </c>
      <c r="F33" s="0" t="inlineStr">
        <is>
          <t xml:space="preserve">Dragon scale dust</t>
        </is>
      </c>
      <c r="G33" s="2">
        <v>1</v>
      </c>
      <c r="H33" s="0"/>
      <c r="I33" s="2"/>
      <c r="J33" s="0"/>
      <c r="K33" s="2"/>
      <c r="L33" s="2">
        <f>IFERROR((IF($D33="","",VLOOKUP($D33,Prices!$A$2:$D$174,3,0))*$E33)+(IF($F33="","",VLOOKUP($F33,Prices!$A$2:$D$174,3,0))*$G33),"")</f>
        <v>1754</v>
      </c>
      <c r="M33" s="2">
        <f>IFERROR(VLOOKUP($A33,Prices!$A$2:$D$174,4,0),"")</f>
        <v>870</v>
      </c>
      <c r="N33" s="2">
        <f>IF(ISNUMBER(SEARCH("(4)",$A33)),IFERROR(VLOOKUP(SUBSTITUTE($A33,"(4)","(2)"),Prices!$A$2:$D$174,4,0),""),"")</f>
        <v>505</v>
      </c>
      <c r="O33" s="2">
        <f>IFERROR((IF($F33="","",VLOOKUP($F33,Prices!$A$2:$D$174,3,0))*$G33),"")</f>
        <v>70</v>
      </c>
      <c r="P33" s="2">
        <f>IF(OR($L33="",$M33=""),"",(3+0.15*'Top 8'!$J$4)*($M33+$N33)/6-($L33-0.1*'Top 8'!$J$5*$O33))</f>
        <v>-1025.125</v>
      </c>
      <c r="Q33" s="2">
        <f>IF($P33="","",$P33*3000)</f>
        <v>-3075375</v>
      </c>
      <c r="R33" s="5">
        <f>IF($P33="","",$P33+ROW()/1000000)</f>
        <v>-1025.124966</v>
      </c>
    </row>
    <row r="34">
      <c r="A34" s="0" t="inlineStr">
        <is>
          <t xml:space="preserve">Ranging potion(4)</t>
        </is>
      </c>
      <c r="B34" s="2">
        <v>72</v>
      </c>
      <c r="C34" s="4">
        <v>162.5</v>
      </c>
      <c r="D34" s="0" t="inlineStr">
        <is>
          <t xml:space="preserve">dwarf weed potion (unf)</t>
        </is>
      </c>
      <c r="E34" s="2">
        <v>1</v>
      </c>
      <c r="F34" s="0" t="inlineStr">
        <is>
          <t xml:space="preserve">Wine of Zamorak</t>
        </is>
      </c>
      <c r="G34" s="2">
        <v>1</v>
      </c>
      <c r="H34" s="0"/>
      <c r="I34" s="2"/>
      <c r="J34" s="0"/>
      <c r="K34" s="2"/>
      <c r="L34" s="2">
        <f>IFERROR((IF($D34="","",VLOOKUP($D34,Prices!$A$2:$D$174,3,0))*$E34)+(IF($F34="","",VLOOKUP($F34,Prices!$A$2:$D$174,3,0))*$G34),"")</f>
        <v>2604</v>
      </c>
      <c r="M34" s="2">
        <f>IFERROR(VLOOKUP($A34,Prices!$A$2:$D$174,4,0),"")</f>
        <v>1718</v>
      </c>
      <c r="N34" s="2">
        <f>IF(ISNUMBER(SEARCH("(4)",$A34)),IFERROR(VLOOKUP(SUBSTITUTE($A34,"(4)","(2)"),Prices!$A$2:$D$174,4,0),""),"")</f>
        <v>908</v>
      </c>
      <c r="O34" s="2">
        <f>IFERROR((IF($F34="","",VLOOKUP($F34,Prices!$A$2:$D$174,3,0))*$G34),"")</f>
        <v>924</v>
      </c>
      <c r="P34" s="2">
        <f>IF(OR($L34="",$M34=""),"",(3+0.15*'Top 8'!$J$4)*($M34+$N34)/6-($L34-0.1*'Top 8'!$J$5*$O34))</f>
        <v>-1132.9499999999998</v>
      </c>
      <c r="Q34" s="2">
        <f>IF($P34="","",$P34*3000)</f>
        <v>-3398849.9999999995</v>
      </c>
      <c r="R34" s="5">
        <f>IF($P34="","",$P34+ROW()/1000000)</f>
        <v>-1132.9499649999998</v>
      </c>
    </row>
    <row r="35">
      <c r="A35" s="0" t="inlineStr">
        <is>
          <t xml:space="preserve">Weapon poison(+)</t>
        </is>
      </c>
      <c r="B35" s="2">
        <v>73</v>
      </c>
      <c r="C35" s="4">
        <v>190</v>
      </c>
      <c r="D35" s="0" t="inlineStr">
        <is>
          <t xml:space="preserve">Coconut milk</t>
        </is>
      </c>
      <c r="E35" s="2">
        <v>1</v>
      </c>
      <c r="F35" s="0" t="inlineStr">
        <is>
          <t xml:space="preserve">Cactus spine</t>
        </is>
      </c>
      <c r="G35" s="2">
        <v>1</v>
      </c>
      <c r="H35" s="0" t="inlineStr">
        <is>
          <t xml:space="preserve">Red spiders' eggs</t>
        </is>
      </c>
      <c r="I35" s="2">
        <v>1</v>
      </c>
      <c r="J35" s="0"/>
      <c r="K35" s="2"/>
      <c r="L35" s="2">
        <f>IFERROR((IF($D35="","",VLOOKUP($D35,Prices!$A$2:$D$174,3,0))*$E35)+(IF($F35="","",VLOOKUP($F35,Prices!$A$2:$D$174,3,0))*$G35)+(IF($H35="","",VLOOKUP($H35,Prices!$A$2:$D$174,3,0))*$I35),"")</f>
        <v>2056</v>
      </c>
      <c r="M35" s="2">
        <f>IFERROR(VLOOKUP($A35,Prices!$A$2:$D$174,4,0),"")</f>
        <v>898</v>
      </c>
      <c r="N35" s="2">
        <f>IF(ISNUMBER(SEARCH("(4)",$A35)),IFERROR(VLOOKUP(SUBSTITUTE($A35,"(4)","(2)"),Prices!$A$2:$D$174,4,0),""),"")</f>
      </c>
      <c r="O35" s="2">
        <f>IFERROR((IF($H35="","",VLOOKUP($H35,Prices!$A$2:$D$174,3,0))*$I35),"")</f>
        <v>184</v>
      </c>
      <c r="P35" s="2">
        <f>IF(OR($L35="",$M35=""),"",$M35-($L35-0.1*'Top 8'!$J$5*$O35))</f>
        <v>-1139.6</v>
      </c>
      <c r="Q35" s="2">
        <f>IF($P35="","",$P35*3000)</f>
        <v>-3418799.9999999995</v>
      </c>
      <c r="R35" s="5">
        <f>IF($P35="","",$P35+ROW()/1000000)</f>
        <v>-1139.599964</v>
      </c>
    </row>
    <row r="36">
      <c r="A36" s="0" t="inlineStr">
        <is>
          <t xml:space="preserve">Magic potion(4)</t>
        </is>
      </c>
      <c r="B36" s="2">
        <v>76</v>
      </c>
      <c r="C36" s="4">
        <v>172.5</v>
      </c>
      <c r="D36" s="0" t="inlineStr">
        <is>
          <t xml:space="preserve">lantadyme potion (unf)</t>
        </is>
      </c>
      <c r="E36" s="2">
        <v>1</v>
      </c>
      <c r="F36" s="0" t="inlineStr">
        <is>
          <t xml:space="preserve">Potato cactus</t>
        </is>
      </c>
      <c r="G36" s="2">
        <v>1</v>
      </c>
      <c r="H36" s="0"/>
      <c r="I36" s="2"/>
      <c r="J36" s="0"/>
      <c r="K36" s="2"/>
      <c r="L36" s="2">
        <f>IFERROR((IF($D36="","",VLOOKUP($D36,Prices!$A$2:$D$174,3,0))*$E36)+(IF($F36="","",VLOOKUP($F36,Prices!$A$2:$D$174,3,0))*$G36),"")</f>
        <v>1749</v>
      </c>
      <c r="M36" s="2">
        <f>IFERROR(VLOOKUP($A36,Prices!$A$2:$D$174,4,0),"")</f>
        <v>124</v>
      </c>
      <c r="N36" s="2">
        <f>IF(ISNUMBER(SEARCH("(4)",$A36)),IFERROR(VLOOKUP(SUBSTITUTE($A36,"(4)","(2)"),Prices!$A$2:$D$174,4,0),""),"")</f>
        <v>63</v>
      </c>
      <c r="O36" s="2">
        <f>IFERROR((IF($F36="","",VLOOKUP($F36,Prices!$A$2:$D$174,3,0))*$G36),"")</f>
        <v>65</v>
      </c>
      <c r="P36" s="2">
        <f>IF(OR($L36="",$M36=""),"",(3+0.15*'Top 8'!$J$4)*($M36+$N36)/6-($L36-0.1*'Top 8'!$J$5*$O36))</f>
        <v>-1644.325</v>
      </c>
      <c r="Q36" s="2">
        <f>IF($P36="","",$P36*3000)</f>
        <v>-4932975</v>
      </c>
      <c r="R36" s="5">
        <f>IF($P36="","",$P36+ROW()/1000000)</f>
        <v>-1644.324963</v>
      </c>
    </row>
    <row r="37">
      <c r="A37" s="0" t="inlineStr">
        <is>
          <t xml:space="preserve">Stamina potion(4)</t>
        </is>
      </c>
      <c r="B37" s="2">
        <v>77</v>
      </c>
      <c r="C37" s="4">
        <v>102</v>
      </c>
      <c r="D37" s="0" t="inlineStr">
        <is>
          <t xml:space="preserve">Super energy(4)</t>
        </is>
      </c>
      <c r="E37" s="2">
        <v>1</v>
      </c>
      <c r="F37" s="0" t="inlineStr">
        <is>
          <t xml:space="preserve">Amylase crystal</t>
        </is>
      </c>
      <c r="G37" s="2">
        <v>4</v>
      </c>
      <c r="H37" s="0"/>
      <c r="I37" s="2"/>
      <c r="J37" s="0"/>
      <c r="K37" s="2"/>
      <c r="L37" s="2">
        <f>IFERROR(0.75*((IF($D37="","",VLOOKUP($D37,Prices!$A$2:$D$174,3,0))*$E37)+(IF($F37="","",VLOOKUP($F37,Prices!$A$2:$D$174,3,0))*$G37)),"")</f>
        <v>3484.5</v>
      </c>
      <c r="M37" s="2">
        <f>IFERROR(VLOOKUP($A37,Prices!$A$2:$D$174,4,0),"")</f>
        <v>3990</v>
      </c>
      <c r="N37" s="2">
        <f>IF(ISNUMBER(SEARCH("(4)",$A37)),IFERROR(VLOOKUP(SUBSTITUTE($A37,"(4)","(2)"),Prices!$A$2:$D$174,4,0),""),"")</f>
        <v>1826</v>
      </c>
      <c r="O37" s="2">
        <f>IFERROR(0.75*((IF($F37="","",VLOOKUP($F37,Prices!$A$2:$D$174,3,0))*$G37)),"")</f>
        <v>1521</v>
      </c>
      <c r="P37" s="2">
        <f>IF(OR($L37="",$M37=""),"",(3+0.15*'Top 8'!$J$4)*($M37+$N37)/6-($L37-0.1*'Top 8'!$J$5*$O37))</f>
        <v>-279</v>
      </c>
      <c r="Q37" s="2">
        <f>IF($P37="","",$P37*3000)</f>
        <v>-837000</v>
      </c>
      <c r="R37" s="5">
        <f>IF($P37="","",$P37+ROW()/1000000)</f>
        <v>-278.999962</v>
      </c>
    </row>
    <row r="38">
      <c r="A38" s="0" t="inlineStr">
        <is>
          <t xml:space="preserve">Zamorak brew(4)</t>
        </is>
      </c>
      <c r="B38" s="2">
        <v>78</v>
      </c>
      <c r="C38" s="4">
        <v>175</v>
      </c>
      <c r="D38" s="0" t="inlineStr">
        <is>
          <t xml:space="preserve">torstol potion (unf)</t>
        </is>
      </c>
      <c r="E38" s="2">
        <v>1</v>
      </c>
      <c r="F38" s="0" t="inlineStr">
        <is>
          <t xml:space="preserve">Jangerberries</t>
        </is>
      </c>
      <c r="G38" s="2">
        <v>1</v>
      </c>
      <c r="H38" s="0"/>
      <c r="I38" s="2"/>
      <c r="J38" s="0"/>
      <c r="K38" s="2"/>
      <c r="L38" s="2">
        <f>IFERROR((IF($D38="","",VLOOKUP($D38,Prices!$A$2:$D$174,3,0))*$E38)+(IF($F38="","",VLOOKUP($F38,Prices!$A$2:$D$174,3,0))*$G38),"")</f>
        <v>4248</v>
      </c>
      <c r="M38" s="2">
        <f>IFERROR(VLOOKUP($A38,Prices!$A$2:$D$174,4,0),"")</f>
        <v>599</v>
      </c>
      <c r="N38" s="2">
        <f>IF(ISNUMBER(SEARCH("(4)",$A38)),IFERROR(VLOOKUP(SUBSTITUTE($A38,"(4)","(2)"),Prices!$A$2:$D$174,4,0),""),"")</f>
        <v>506</v>
      </c>
      <c r="O38" s="2">
        <f>IFERROR((IF($F38="","",VLOOKUP($F38,Prices!$A$2:$D$174,3,0))*$G38),"")</f>
        <v>329</v>
      </c>
      <c r="P38" s="2">
        <f>IF(OR($L38="",$M38=""),"",(3+0.15*'Top 8'!$J$4)*($M38+$N38)/6-($L38-0.1*'Top 8'!$J$5*$O38))</f>
        <v>-3634.9750000000004</v>
      </c>
      <c r="Q38" s="2">
        <f>IF($P38="","",$P38*3000)</f>
        <v>-10904925.000000002</v>
      </c>
      <c r="R38" s="5">
        <f>IF($P38="","",$P38+ROW()/1000000)</f>
        <v>-3634.9749610000003</v>
      </c>
    </row>
    <row r="39">
      <c r="A39" s="0" t="inlineStr">
        <is>
          <t xml:space="preserve">Antidote++(4)</t>
        </is>
      </c>
      <c r="B39" s="2">
        <v>79</v>
      </c>
      <c r="C39" s="4">
        <v>177.5</v>
      </c>
      <c r="D39" s="0" t="inlineStr">
        <is>
          <t xml:space="preserve">Coconut milk</t>
        </is>
      </c>
      <c r="E39" s="2">
        <v>1</v>
      </c>
      <c r="F39" s="0" t="inlineStr">
        <is>
          <t xml:space="preserve">Irit leaf</t>
        </is>
      </c>
      <c r="G39" s="2">
        <v>1</v>
      </c>
      <c r="H39" s="0" t="inlineStr">
        <is>
          <t xml:space="preserve">Magic roots</t>
        </is>
      </c>
      <c r="I39" s="2">
        <v>1</v>
      </c>
      <c r="J39" s="0"/>
      <c r="K39" s="2"/>
      <c r="L39" s="2">
        <f>IFERROR((IF($D39="","",VLOOKUP($D39,Prices!$A$2:$D$174,3,0))*$E39)+(IF($F39="","",VLOOKUP($F39,Prices!$A$2:$D$174,3,0))*$G39)+(IF($H39="","",VLOOKUP($H39,Prices!$A$2:$D$174,3,0))*$I39),"")</f>
        <v>9783</v>
      </c>
      <c r="M39" s="2">
        <f>IFERROR(VLOOKUP($A39,Prices!$A$2:$D$174,4,0),"")</f>
        <v>8583</v>
      </c>
      <c r="N39" s="2">
        <f>IF(ISNUMBER(SEARCH("(4)",$A39)),IFERROR(VLOOKUP(SUBSTITUTE($A39,"(4)","(2)"),Prices!$A$2:$D$174,4,0),""),"")</f>
        <v>3556</v>
      </c>
      <c r="O39" s="2">
        <f>IFERROR((IF($H39="","",VLOOKUP($H39,Prices!$A$2:$D$174,3,0))*$I39),"")</f>
        <v>8034</v>
      </c>
      <c r="P39" s="2">
        <f>IF(OR($L39="",$M39=""),"",$M39-($L39-0.1*'Top 8'!$J$5*$O39))</f>
        <v>-396.60000000000036</v>
      </c>
      <c r="Q39" s="2">
        <f>IF($P39="","",$P39*3000)</f>
        <v>-1189800.0000000012</v>
      </c>
      <c r="R39" s="5">
        <f>IF($P39="","",$P39+ROW()/1000000)</f>
        <v>-396.59996000000035</v>
      </c>
    </row>
    <row r="40">
      <c r="A40" s="0" t="inlineStr">
        <is>
          <t xml:space="preserve">Bastion potion(4)</t>
        </is>
      </c>
      <c r="B40" s="2">
        <v>80</v>
      </c>
      <c r="C40" s="4">
        <v>155</v>
      </c>
      <c r="D40" s="0" t="inlineStr">
        <is>
          <t xml:space="preserve">Vial of blood</t>
        </is>
      </c>
      <c r="E40" s="2">
        <v>1</v>
      </c>
      <c r="F40" s="0" t="inlineStr">
        <is>
          <t xml:space="preserve">Cadantine</t>
        </is>
      </c>
      <c r="G40" s="2">
        <v>1</v>
      </c>
      <c r="H40" s="0" t="inlineStr">
        <is>
          <t xml:space="preserve">Wine of Zamorak</t>
        </is>
      </c>
      <c r="I40" s="2">
        <v>1</v>
      </c>
      <c r="J40" s="0"/>
      <c r="K40" s="2"/>
      <c r="L40" s="2">
        <f>IFERROR((IF($D40="","",VLOOKUP($D40,Prices!$A$2:$D$174,3,0))*$E40)+(IF($F40="","",VLOOKUP($F40,Prices!$A$2:$D$174,3,0))*$G40)+(IF($H40="","",VLOOKUP($H40,Prices!$A$2:$D$174,3,0))*$I40),"")</f>
        <v>11830</v>
      </c>
      <c r="M40" s="2">
        <f>IFERROR(VLOOKUP($A40,Prices!$A$2:$D$174,4,0),"")</f>
        <v>15294</v>
      </c>
      <c r="N40" s="2">
        <f>IF(ISNUMBER(SEARCH("(4)",$A40)),IFERROR(VLOOKUP(SUBSTITUTE($A40,"(4)","(2)"),Prices!$A$2:$D$174,4,0),""),"")</f>
        <v>6657</v>
      </c>
      <c r="O40" s="2">
        <f>IFERROR((IF($H40="","",VLOOKUP($H40,Prices!$A$2:$D$174,3,0))*$I40),"")</f>
        <v>924</v>
      </c>
      <c r="P40" s="2">
        <f>IF(OR($L40="",$M40=""),"",(3+0.15*'Top 8'!$J$4)*($M40+$N40)/6-($L40-0.1*'Top 8'!$J$5*$O40))</f>
        <v>-213.32500000000073</v>
      </c>
      <c r="Q40" s="2">
        <f>IF($P40="","",$P40*3000)</f>
        <v>-639975.0000000022</v>
      </c>
      <c r="R40" s="5">
        <f>IF($P40="","",$P40+ROW()/1000000)</f>
        <v>-213.32495900000072</v>
      </c>
    </row>
    <row r="41">
      <c r="A41" s="0" t="inlineStr">
        <is>
          <t xml:space="preserve">Battlemage potion(4)</t>
        </is>
      </c>
      <c r="B41" s="2">
        <v>80</v>
      </c>
      <c r="C41" s="4">
        <v>155</v>
      </c>
      <c r="D41" s="0" t="inlineStr">
        <is>
          <t xml:space="preserve">Vial of blood</t>
        </is>
      </c>
      <c r="E41" s="2">
        <v>1</v>
      </c>
      <c r="F41" s="0" t="inlineStr">
        <is>
          <t xml:space="preserve">Cadantine</t>
        </is>
      </c>
      <c r="G41" s="2">
        <v>1</v>
      </c>
      <c r="H41" s="0" t="inlineStr">
        <is>
          <t xml:space="preserve">Potato cactus</t>
        </is>
      </c>
      <c r="I41" s="2">
        <v>1</v>
      </c>
      <c r="J41" s="0"/>
      <c r="K41" s="2"/>
      <c r="L41" s="2">
        <f>IFERROR((IF($D41="","",VLOOKUP($D41,Prices!$A$2:$D$174,3,0))*$E41)+(IF($F41="","",VLOOKUP($F41,Prices!$A$2:$D$174,3,0))*$G41)+(IF($H41="","",VLOOKUP($H41,Prices!$A$2:$D$174,3,0))*$I41),"")</f>
        <v>10971</v>
      </c>
      <c r="M41" s="2">
        <f>IFERROR(VLOOKUP($A41,Prices!$A$2:$D$174,4,0),"")</f>
        <v>13198</v>
      </c>
      <c r="N41" s="2">
        <f>IF(ISNUMBER(SEARCH("(4)",$A41)),IFERROR(VLOOKUP(SUBSTITUTE($A41,"(4)","(2)"),Prices!$A$2:$D$174,4,0),""),"")</f>
        <v>7673</v>
      </c>
      <c r="O41" s="2">
        <f>IFERROR((IF($H41="","",VLOOKUP($H41,Prices!$A$2:$D$174,3,0))*$I41),"")</f>
        <v>65</v>
      </c>
      <c r="P41" s="2">
        <f>IF(OR($L41="",$M41=""),"",(3+0.15*'Top 8'!$J$4)*($M41+$N41)/6-($L41-0.1*'Top 8'!$J$5*$O41))</f>
        <v>-7.225000000000364</v>
      </c>
      <c r="Q41" s="2">
        <f>IF($P41="","",$P41*3000)</f>
        <v>-21675.00000000109</v>
      </c>
      <c r="R41" s="5">
        <f>IF($P41="","",$P41+ROW()/1000000)</f>
        <v>-7.224958000000364</v>
      </c>
    </row>
    <row r="42">
      <c r="A42" s="0" t="inlineStr">
        <is>
          <t xml:space="preserve">Saradomin brew(4)</t>
        </is>
      </c>
      <c r="B42" s="2">
        <v>81</v>
      </c>
      <c r="C42" s="4">
        <v>180</v>
      </c>
      <c r="D42" s="0" t="inlineStr">
        <is>
          <t xml:space="preserve">toadflax potion (unf)</t>
        </is>
      </c>
      <c r="E42" s="2">
        <v>1</v>
      </c>
      <c r="F42" s="0" t="inlineStr">
        <is>
          <t xml:space="preserve">Crushed nest</t>
        </is>
      </c>
      <c r="G42" s="2">
        <v>1</v>
      </c>
      <c r="H42" s="0"/>
      <c r="I42" s="2"/>
      <c r="J42" s="0"/>
      <c r="K42" s="2"/>
      <c r="L42" s="2">
        <f>IFERROR((IF($D42="","",VLOOKUP($D42,Prices!$A$2:$D$174,3,0))*$E42)+(IF($F42="","",VLOOKUP($F42,Prices!$A$2:$D$174,3,0))*$G42),"")</f>
        <v>6966</v>
      </c>
      <c r="M42" s="2">
        <f>IFERROR(VLOOKUP($A42,Prices!$A$2:$D$174,4,0),"")</f>
        <v>6784</v>
      </c>
      <c r="N42" s="2">
        <f>IF(ISNUMBER(SEARCH("(4)",$A42)),IFERROR(VLOOKUP(SUBSTITUTE($A42,"(4)","(2)"),Prices!$A$2:$D$174,4,0),""),"")</f>
        <v>3243</v>
      </c>
      <c r="O42" s="2">
        <f>IFERROR((IF($F42="","",VLOOKUP($F42,Prices!$A$2:$D$174,3,0))*$G42),"")</f>
        <v>4376</v>
      </c>
      <c r="P42" s="2">
        <f>IF(OR($L42="",$M42=""),"",(3+0.15*'Top 8'!$J$4)*($M42+$N42)/6-($L42-0.1*'Top 8'!$J$5*$O42))</f>
        <v>-1264.2249999999995</v>
      </c>
      <c r="Q42" s="2">
        <f>IF($P42="","",$P42*3000)</f>
        <v>-3792674.999999998</v>
      </c>
      <c r="R42" s="5">
        <f>IF($P42="","",$P42+ROW()/1000000)</f>
        <v>-1264.2249569999994</v>
      </c>
    </row>
    <row r="43">
      <c r="A43" s="0" t="inlineStr">
        <is>
          <t xml:space="preserve">Surge potion(4)</t>
        </is>
      </c>
      <c r="B43" s="2">
        <v>81</v>
      </c>
      <c r="C43" s="4">
        <v>185</v>
      </c>
      <c r="D43" s="0" t="inlineStr">
        <is>
          <t xml:space="preserve">torstol potion (unf)</t>
        </is>
      </c>
      <c r="E43" s="2">
        <v>1</v>
      </c>
      <c r="F43" s="0" t="inlineStr">
        <is>
          <t xml:space="preserve">Demonic tallow</t>
        </is>
      </c>
      <c r="G43" s="2">
        <v>1</v>
      </c>
      <c r="H43" s="0"/>
      <c r="I43" s="2"/>
      <c r="J43" s="0"/>
      <c r="K43" s="2"/>
      <c r="L43" s="2">
        <f>IFERROR((IF($D43="","",VLOOKUP($D43,Prices!$A$2:$D$174,3,0))*$E43)+(IF($F43="","",VLOOKUP($F43,Prices!$A$2:$D$174,3,0))*$G43),"")</f>
        <v>4099</v>
      </c>
      <c r="M43" s="2">
        <f>IFERROR(VLOOKUP($A43,Prices!$A$2:$D$174,4,0),"")</f>
      </c>
      <c r="N43" s="2">
        <f>IF(ISNUMBER(SEARCH("(4)",$A43)),IFERROR(VLOOKUP(SUBSTITUTE($A43,"(4)","(2)"),Prices!$A$2:$D$174,4,0),""),"")</f>
      </c>
      <c r="O43" s="2">
        <f>IFERROR((IF($F43="","",VLOOKUP($F43,Prices!$A$2:$D$174,3,0))*$G43),"")</f>
        <v>180</v>
      </c>
      <c r="P43" s="2">
        <f>IF(OR($L43="",$M43=""),"",(3+0.15*'Top 8'!$J$4)*($M43+$N43)/6-($L43-0.1*'Top 8'!$J$5*$O43))</f>
      </c>
      <c r="Q43" s="2">
        <f>IF($P43="","",$P43*3000)</f>
      </c>
      <c r="R43" s="5">
        <f>IF($P43="","",$P43+ROW()/1000000)</f>
      </c>
    </row>
    <row r="44">
      <c r="A44" s="0" t="inlineStr">
        <is>
          <t xml:space="preserve">Extended antifire(4)</t>
        </is>
      </c>
      <c r="B44" s="2">
        <v>84</v>
      </c>
      <c r="C44" s="4">
        <v>110</v>
      </c>
      <c r="D44" s="0" t="inlineStr">
        <is>
          <t xml:space="preserve">Antifire potion(4)</t>
        </is>
      </c>
      <c r="E44" s="2">
        <v>1</v>
      </c>
      <c r="F44" s="0" t="inlineStr">
        <is>
          <t xml:space="preserve">Lava scale shard</t>
        </is>
      </c>
      <c r="G44" s="2">
        <v>4</v>
      </c>
      <c r="H44" s="0"/>
      <c r="I44" s="2"/>
      <c r="J44" s="0"/>
      <c r="K44" s="2"/>
      <c r="L44" s="2">
        <f>IFERROR(0.75*((IF($D44="","",VLOOKUP($D44,Prices!$A$2:$D$174,3,0))*$E44)+(IF($F44="","",VLOOKUP($F44,Prices!$A$2:$D$174,3,0))*$G44)),"")</f>
        <v>926.25</v>
      </c>
      <c r="M44" s="2">
        <f>IFERROR(VLOOKUP($A44,Prices!$A$2:$D$174,4,0),"")</f>
        <v>263</v>
      </c>
      <c r="N44" s="2">
        <f>IF(ISNUMBER(SEARCH("(4)",$A44)),IFERROR(VLOOKUP(SUBSTITUTE($A44,"(4)","(2)"),Prices!$A$2:$D$174,4,0),""),"")</f>
        <v>213</v>
      </c>
      <c r="O44" s="2">
        <f>IFERROR(0.75*((IF($F44="","",VLOOKUP($F44,Prices!$A$2:$D$174,3,0))*$G44)),"")</f>
        <v>261</v>
      </c>
      <c r="P44" s="2">
        <f>IF(OR($L44="",$M44=""),"",(3+0.15*'Top 8'!$J$4)*($M44+$N44)/6-($L44-0.1*'Top 8'!$J$5*$O44))</f>
        <v>-650.25</v>
      </c>
      <c r="Q44" s="2">
        <f>IF($P44="","",$P44*3000)</f>
        <v>-1950750</v>
      </c>
      <c r="R44" s="5">
        <f>IF($P44="","",$P44+ROW()/1000000)</f>
        <v>-650.249955</v>
      </c>
    </row>
    <row r="45">
      <c r="A45" s="0" t="inlineStr">
        <is>
          <t xml:space="preserve">Ancient brew(4)</t>
        </is>
      </c>
      <c r="B45" s="2">
        <v>85</v>
      </c>
      <c r="C45" s="4">
        <v>190</v>
      </c>
      <c r="D45" s="0" t="inlineStr">
        <is>
          <t xml:space="preserve">dwarf weed potion (unf)</t>
        </is>
      </c>
      <c r="E45" s="2">
        <v>1</v>
      </c>
      <c r="F45" s="0" t="inlineStr">
        <is>
          <t xml:space="preserve">Nihil dust</t>
        </is>
      </c>
      <c r="G45" s="2">
        <v>1</v>
      </c>
      <c r="H45" s="0"/>
      <c r="I45" s="2"/>
      <c r="J45" s="0"/>
      <c r="K45" s="2"/>
      <c r="L45" s="2">
        <f>IFERROR((IF($D45="","",VLOOKUP($D45,Prices!$A$2:$D$174,3,0))*$E45)+(IF($F45="","",VLOOKUP($F45,Prices!$A$2:$D$174,3,0))*$G45),"")</f>
        <v>8188</v>
      </c>
      <c r="M45" s="2">
        <f>IFERROR(VLOOKUP($A45,Prices!$A$2:$D$174,4,0),"")</f>
        <v>2917</v>
      </c>
      <c r="N45" s="2">
        <f>IF(ISNUMBER(SEARCH("(4)",$A45)),IFERROR(VLOOKUP(SUBSTITUTE($A45,"(4)","(2)"),Prices!$A$2:$D$174,4,0),""),"")</f>
        <v>1515</v>
      </c>
      <c r="O45" s="2">
        <f>IFERROR((IF($F45="","",VLOOKUP($F45,Prices!$A$2:$D$174,3,0))*$G45),"")</f>
        <v>6508</v>
      </c>
      <c r="P45" s="2">
        <f>IF(OR($L45="",$M45=""),"",(3+0.15*'Top 8'!$J$4)*($M45+$N45)/6-($L45-0.1*'Top 8'!$J$5*$O45))</f>
        <v>-5210.4</v>
      </c>
      <c r="Q45" s="2">
        <f>IF($P45="","",$P45*3000)</f>
        <v>-15631199.999999998</v>
      </c>
      <c r="R45" s="5">
        <f>IF($P45="","",$P45+ROW()/1000000)</f>
        <v>-5210.3999539999995</v>
      </c>
    </row>
    <row r="46">
      <c r="A46" s="0" t="inlineStr">
        <is>
          <t xml:space="preserve">Extended stamina potion(4)</t>
        </is>
      </c>
      <c r="B46" s="2">
        <v>85</v>
      </c>
      <c r="C46" s="4">
        <v>110</v>
      </c>
      <c r="D46" s="0" t="inlineStr">
        <is>
          <t xml:space="preserve">Stamina potion(4)</t>
        </is>
      </c>
      <c r="E46" s="2">
        <v>1</v>
      </c>
      <c r="F46" s="0" t="inlineStr">
        <is>
          <t xml:space="preserve">Marlin scales</t>
        </is>
      </c>
      <c r="G46" s="2">
        <v>4</v>
      </c>
      <c r="H46" s="0"/>
      <c r="I46" s="2"/>
      <c r="J46" s="0"/>
      <c r="K46" s="2"/>
      <c r="L46" s="2">
        <f>IFERROR(0.75*((IF($D46="","",VLOOKUP($D46,Prices!$A$2:$D$174,3,0))*$E46)+(IF($F46="","",VLOOKUP($F46,Prices!$A$2:$D$174,3,0))*$G46)),"")</f>
        <v>6527.25</v>
      </c>
      <c r="M46" s="2">
        <f>IFERROR(VLOOKUP($A46,Prices!$A$2:$D$174,4,0),"")</f>
        <v>7599</v>
      </c>
      <c r="N46" s="2">
        <f>IF(ISNUMBER(SEARCH("(4)",$A46)),IFERROR(VLOOKUP(SUBSTITUTE($A46,"(4)","(2)"),Prices!$A$2:$D$174,4,0),""),"")</f>
        <v>3601</v>
      </c>
      <c r="O46" s="2">
        <f>IFERROR(0.75*((IF($F46="","",VLOOKUP($F46,Prices!$A$2:$D$174,3,0))*$G46)),"")</f>
        <v>3474</v>
      </c>
      <c r="P46" s="2">
        <f>IF(OR($L46="",$M46=""),"",(3+0.15*'Top 8'!$J$4)*($M46+$N46)/6-($L46-0.1*'Top 8'!$J$5*$O46))</f>
        <v>-299.85000000000036</v>
      </c>
      <c r="Q46" s="2">
        <f>IF($P46="","",$P46*3000)</f>
        <v>-899550.000000001</v>
      </c>
      <c r="R46" s="5">
        <f>IF($P46="","",$P46+ROW()/1000000)</f>
        <v>-299.84995300000037</v>
      </c>
    </row>
    <row r="47">
      <c r="A47" s="0" t="inlineStr">
        <is>
          <t xml:space="preserve">Anti-venom(4)</t>
        </is>
      </c>
      <c r="B47" s="2">
        <v>87</v>
      </c>
      <c r="C47" s="4">
        <v>120</v>
      </c>
      <c r="D47" s="0" t="inlineStr">
        <is>
          <t xml:space="preserve">Antidote++(4)</t>
        </is>
      </c>
      <c r="E47" s="2">
        <v>1</v>
      </c>
      <c r="F47" s="0" t="inlineStr">
        <is>
          <t xml:space="preserve">Zulrah's scales</t>
        </is>
      </c>
      <c r="G47" s="2">
        <v>20</v>
      </c>
      <c r="H47" s="0"/>
      <c r="I47" s="2"/>
      <c r="J47" s="0"/>
      <c r="K47" s="2"/>
      <c r="L47" s="2">
        <f>IFERROR(0.75*((IF($D47="","",VLOOKUP($D47,Prices!$A$2:$D$174,3,0))*$E47)+(IF($F47="","",VLOOKUP($F47,Prices!$A$2:$D$174,3,0))*$G47)),"")</f>
        <v>8863.5</v>
      </c>
      <c r="M47" s="2">
        <f>IFERROR(VLOOKUP($A47,Prices!$A$2:$D$174,4,0),"")</f>
        <v>10787</v>
      </c>
      <c r="N47" s="2">
        <f>IF(ISNUMBER(SEARCH("(4)",$A47)),IFERROR(VLOOKUP(SUBSTITUTE($A47,"(4)","(2)"),Prices!$A$2:$D$174,4,0),""),"")</f>
        <v>5038</v>
      </c>
      <c r="O47" s="2">
        <f>IFERROR(0.75*((IF($F47="","",VLOOKUP($F47,Prices!$A$2:$D$174,3,0))*$G47)),"")</f>
        <v>2295</v>
      </c>
      <c r="P47" s="2">
        <f>IF(OR($L47="",$M47=""),"",(3+0.15*'Top 8'!$J$4)*($M47+$N47)/6-($L47-0.1*'Top 8'!$J$5*$O47))</f>
        <v>-325.875</v>
      </c>
      <c r="Q47" s="2">
        <f>IF($P47="","",$P47*3000)</f>
        <v>-977625</v>
      </c>
      <c r="R47" s="5">
        <f>IF($P47="","",$P47+ROW()/1000000)</f>
        <v>-325.874952</v>
      </c>
    </row>
    <row r="48">
      <c r="A48" s="0" t="inlineStr">
        <is>
          <t xml:space="preserve">Menaphite remedy(4)</t>
        </is>
      </c>
      <c r="B48" s="2">
        <v>88</v>
      </c>
      <c r="C48" s="4">
        <v>200</v>
      </c>
      <c r="D48" s="0" t="inlineStr">
        <is>
          <t xml:space="preserve">dwarf weed potion (unf)</t>
        </is>
      </c>
      <c r="E48" s="2">
        <v>1</v>
      </c>
      <c r="F48" s="0" t="inlineStr">
        <is>
          <t xml:space="preserve">Lily of the Sands</t>
        </is>
      </c>
      <c r="G48" s="2">
        <v>1</v>
      </c>
      <c r="H48" s="0"/>
      <c r="I48" s="2"/>
      <c r="J48" s="0"/>
      <c r="K48" s="2"/>
      <c r="L48" s="2">
        <f>IFERROR((IF($D48="","",VLOOKUP($D48,Prices!$A$2:$D$174,3,0))*$E48)+(IF($F48="","",VLOOKUP($F48,Prices!$A$2:$D$174,3,0))*$G48),"")</f>
        <v>3575</v>
      </c>
      <c r="M48" s="2">
        <f>IFERROR(VLOOKUP($A48,Prices!$A$2:$D$174,4,0),"")</f>
        <v>1979</v>
      </c>
      <c r="N48" s="2">
        <f>IF(ISNUMBER(SEARCH("(4)",$A48)),IFERROR(VLOOKUP(SUBSTITUTE($A48,"(4)","(2)"),Prices!$A$2:$D$174,4,0),""),"")</f>
        <v>915</v>
      </c>
      <c r="O48" s="2">
        <f>IFERROR((IF($F48="","",VLOOKUP($F48,Prices!$A$2:$D$174,3,0))*$G48),"")</f>
        <v>1895</v>
      </c>
      <c r="P48" s="2">
        <f>IF(OR($L48="",$M48=""),"",(3+0.15*'Top 8'!$J$4)*($M48+$N48)/6-($L48-0.1*'Top 8'!$J$5*$O48))</f>
        <v>-1866.15</v>
      </c>
      <c r="Q48" s="2">
        <f>IF($P48="","",$P48*3000)</f>
        <v>-5598450</v>
      </c>
      <c r="R48" s="5">
        <f>IF($P48="","",$P48+ROW()/1000000)</f>
        <v>-1866.149951</v>
      </c>
    </row>
    <row r="49">
      <c r="A49" s="0" t="inlineStr">
        <is>
          <t xml:space="preserve">Armadyl brew(4)</t>
        </is>
      </c>
      <c r="B49" s="2">
        <v>89</v>
      </c>
      <c r="C49" s="4">
        <v>205</v>
      </c>
      <c r="D49" s="0" t="inlineStr">
        <is>
          <t xml:space="preserve">umbral potion (unf)</t>
        </is>
      </c>
      <c r="E49" s="2">
        <v>1</v>
      </c>
      <c r="F49" s="0" t="inlineStr">
        <is>
          <t xml:space="preserve">Rainbow crab paste</t>
        </is>
      </c>
      <c r="G49" s="2">
        <v>1</v>
      </c>
      <c r="H49" s="0"/>
      <c r="I49" s="2"/>
      <c r="J49" s="0"/>
      <c r="K49" s="2"/>
      <c r="L49" s="2">
        <f>IFERROR((IF($D49="","",VLOOKUP($D49,Prices!$A$2:$D$174,3,0))*$E49)+(IF($F49="","",VLOOKUP($F49,Prices!$A$2:$D$174,3,0))*$G49),"")</f>
        <v>4080</v>
      </c>
      <c r="M49" s="2">
        <f>IFERROR(VLOOKUP($A49,Prices!$A$2:$D$174,4,0),"")</f>
        <v>1247</v>
      </c>
      <c r="N49" s="2">
        <f>IF(ISNUMBER(SEARCH("(4)",$A49)),IFERROR(VLOOKUP(SUBSTITUTE($A49,"(4)","(2)"),Prices!$A$2:$D$174,4,0),""),"")</f>
        <v>2196</v>
      </c>
      <c r="O49" s="2">
        <f>IFERROR((IF($F49="","",VLOOKUP($F49,Prices!$A$2:$D$174,3,0))*$G49),"")</f>
        <v>1338</v>
      </c>
      <c r="P49" s="2">
        <f>IF(OR($L49="",$M49=""),"",(3+0.15*'Top 8'!$J$4)*($M49+$N49)/6-($L49-0.1*'Top 8'!$J$5*$O49))</f>
        <v>-2138.625</v>
      </c>
      <c r="Q49" s="2">
        <f>IF($P49="","",$P49*3000)</f>
        <v>-6415875</v>
      </c>
      <c r="R49" s="5">
        <f>IF($P49="","",$P49+ROW()/1000000)</f>
        <v>-2138.62495</v>
      </c>
    </row>
    <row r="50">
      <c r="A50" s="0" t="inlineStr">
        <is>
          <t xml:space="preserve">Super combat potion(4)</t>
        </is>
      </c>
      <c r="B50" s="2">
        <v>90</v>
      </c>
      <c r="C50" s="4">
        <v>150</v>
      </c>
      <c r="D50" s="0" t="inlineStr">
        <is>
          <t xml:space="preserve">Super attack(4)</t>
        </is>
      </c>
      <c r="E50" s="2">
        <v>1</v>
      </c>
      <c r="F50" s="0" t="inlineStr">
        <is>
          <t xml:space="preserve">Super strength(4)</t>
        </is>
      </c>
      <c r="G50" s="2">
        <v>1</v>
      </c>
      <c r="H50" s="0" t="inlineStr">
        <is>
          <t xml:space="preserve">Super defence(4)</t>
        </is>
      </c>
      <c r="I50" s="2">
        <v>1</v>
      </c>
      <c r="J50" s="0" t="inlineStr">
        <is>
          <t xml:space="preserve">Torstol</t>
        </is>
      </c>
      <c r="K50" s="2">
        <v>1</v>
      </c>
      <c r="L50" s="2">
        <f>IFERROR((IF($D50="","",VLOOKUP($D50,Prices!$A$2:$D$174,3,0))*$E50)+(IF($F50="","",VLOOKUP($F50,Prices!$A$2:$D$174,3,0))*$G50)+(IF($H50="","",VLOOKUP($H50,Prices!$A$2:$D$174,3,0))*$I50)+(IF($J50="","",VLOOKUP($J50,Prices!$A$2:$D$174,3,0))*$K50),"")</f>
        <v>11896</v>
      </c>
      <c r="M50" s="2">
        <f>IFERROR(VLOOKUP($A50,Prices!$A$2:$D$174,4,0),"")</f>
        <v>11968</v>
      </c>
      <c r="N50" s="2">
        <f>IF(ISNUMBER(SEARCH("(4)",$A50)),IFERROR(VLOOKUP(SUBSTITUTE($A50,"(4)","(2)"),Prices!$A$2:$D$174,4,0),""),"")</f>
        <v>6130</v>
      </c>
      <c r="O50" s="2">
        <f>IFERROR((IF($J50="","",VLOOKUP($J50,Prices!$A$2:$D$174,3,0))*$K50),"")</f>
        <v>3737</v>
      </c>
      <c r="P50" s="2">
        <f>IF(OR($L50="",$M50=""),"",$M50-($L50-0.1*'Top 8'!$J$5*$O50))</f>
        <v>445.7000000000007</v>
      </c>
      <c r="Q50" s="2">
        <f>IF($P50="","",$P50*3000)</f>
        <v>1337100.000000002</v>
      </c>
      <c r="R50" s="5">
        <f>IF($P50="","",$P50+ROW()/1000000)</f>
        <v>445.7000510000007</v>
      </c>
    </row>
    <row r="51">
      <c r="A51" s="0" t="inlineStr">
        <is>
          <t xml:space="preserve">Forgotten brew(4)</t>
        </is>
      </c>
      <c r="B51" s="2">
        <v>91</v>
      </c>
      <c r="C51" s="4">
        <v>145</v>
      </c>
      <c r="D51" s="0" t="inlineStr">
        <is>
          <t xml:space="preserve">Ancient brew(4)</t>
        </is>
      </c>
      <c r="E51" s="2">
        <v>1</v>
      </c>
      <c r="F51" s="0" t="inlineStr">
        <is>
          <t xml:space="preserve">Ancient essence</t>
        </is>
      </c>
      <c r="G51" s="2">
        <v>80</v>
      </c>
      <c r="H51" s="0"/>
      <c r="I51" s="2"/>
      <c r="J51" s="0"/>
      <c r="K51" s="2"/>
      <c r="L51" s="2">
        <f>IFERROR(0.75*((IF($D51="","",VLOOKUP($D51,Prices!$A$2:$D$174,3,0))*$E51)+(IF($F51="","",VLOOKUP($F51,Prices!$A$2:$D$174,3,0))*$G51)),"")</f>
        <v>3372</v>
      </c>
      <c r="M51" s="2">
        <f>IFERROR(VLOOKUP($A51,Prices!$A$2:$D$174,4,0),"")</f>
        <v>3770</v>
      </c>
      <c r="N51" s="2">
        <f>IF(ISNUMBER(SEARCH("(4)",$A51)),IFERROR(VLOOKUP(SUBSTITUTE($A51,"(4)","(2)"),Prices!$A$2:$D$174,4,0),""),"")</f>
        <v>2603</v>
      </c>
      <c r="O51" s="2">
        <f>IFERROR(0.75*((IF($F51="","",VLOOKUP($F51,Prices!$A$2:$D$174,3,0))*$G51)),"")</f>
        <v>1140</v>
      </c>
      <c r="P51" s="2">
        <f>IF(OR($L51="",$M51=""),"",(3+0.15*'Top 8'!$J$4)*($M51+$N51)/6-($L51-0.1*'Top 8'!$J$5*$O51))</f>
        <v>87.82500000000027</v>
      </c>
      <c r="Q51" s="2">
        <f>IF($P51="","",$P51*3000)</f>
        <v>263475.0000000008</v>
      </c>
      <c r="R51" s="5">
        <f>IF($P51="","",$P51+ROW()/1000000)</f>
        <v>87.82505200000027</v>
      </c>
    </row>
    <row r="52">
      <c r="A52" s="0" t="inlineStr">
        <is>
          <t xml:space="preserve">Super antifire potion(4)</t>
        </is>
      </c>
      <c r="B52" s="2">
        <v>92</v>
      </c>
      <c r="C52" s="4">
        <v>130</v>
      </c>
      <c r="D52" s="0" t="inlineStr">
        <is>
          <t xml:space="preserve">Antifire potion(4)</t>
        </is>
      </c>
      <c r="E52" s="2">
        <v>1</v>
      </c>
      <c r="F52" s="0" t="inlineStr">
        <is>
          <t xml:space="preserve">Crushed superior dragon bones</t>
        </is>
      </c>
      <c r="G52" s="2">
        <v>1</v>
      </c>
      <c r="H52" s="0"/>
      <c r="I52" s="2"/>
      <c r="J52" s="0"/>
      <c r="K52" s="2"/>
      <c r="L52" s="2">
        <f>IFERROR((IF($D52="","",VLOOKUP($D52,Prices!$A$2:$D$174,3,0))*$E52)+(IF($F52="","",VLOOKUP($F52,Prices!$A$2:$D$174,3,0))*$G52),"")</f>
        <v>21213</v>
      </c>
      <c r="M52" s="2">
        <f>IFERROR(VLOOKUP($A52,Prices!$A$2:$D$174,4,0),"")</f>
        <v>18960</v>
      </c>
      <c r="N52" s="2">
        <f>IF(ISNUMBER(SEARCH("(4)",$A52)),IFERROR(VLOOKUP(SUBSTITUTE($A52,"(4)","(2)"),Prices!$A$2:$D$174,4,0),""),"")</f>
        <v>10369</v>
      </c>
      <c r="O52" s="2">
        <f>IFERROR((IF($F52="","",VLOOKUP($F52,Prices!$A$2:$D$174,3,0))*$G52),"")</f>
        <v>20326</v>
      </c>
      <c r="P52" s="2">
        <f>IF(OR($L52="",$M52=""),"",$M52-($L52-0.1*'Top 8'!$J$5*$O52))</f>
        <v>-220.40000000000146</v>
      </c>
      <c r="Q52" s="2">
        <f>IF($P52="","",$P52*3000)</f>
        <v>-661200.0000000044</v>
      </c>
      <c r="R52" s="5">
        <f>IF($P52="","",$P52+ROW()/1000000)</f>
        <v>-220.39994700000145</v>
      </c>
    </row>
    <row r="53">
      <c r="A53" s="0" t="inlineStr">
        <is>
          <t xml:space="preserve">Anti-venom+(4)</t>
        </is>
      </c>
      <c r="B53" s="2">
        <v>94</v>
      </c>
      <c r="C53" s="4">
        <v>125</v>
      </c>
      <c r="D53" s="0" t="inlineStr">
        <is>
          <t xml:space="preserve">Anti-venom(4)</t>
        </is>
      </c>
      <c r="E53" s="2">
        <v>1</v>
      </c>
      <c r="F53" s="0" t="inlineStr">
        <is>
          <t xml:space="preserve">Torstol</t>
        </is>
      </c>
      <c r="G53" s="2">
        <v>1</v>
      </c>
      <c r="H53" s="0"/>
      <c r="I53" s="2"/>
      <c r="J53" s="0"/>
      <c r="K53" s="2"/>
      <c r="L53" s="2">
        <f>IFERROR((IF($D53="","",VLOOKUP($D53,Prices!$A$2:$D$174,3,0))*$E53)+(IF($F53="","",VLOOKUP($F53,Prices!$A$2:$D$174,3,0))*$G53),"")</f>
        <v>14744</v>
      </c>
      <c r="M53" s="2">
        <f>IFERROR(VLOOKUP($A53,Prices!$A$2:$D$174,4,0),"")</f>
        <v>14325</v>
      </c>
      <c r="N53" s="2">
        <f>IF(ISNUMBER(SEARCH("(4)",$A53)),IFERROR(VLOOKUP(SUBSTITUTE($A53,"(4)","(2)"),Prices!$A$2:$D$174,4,0),""),"")</f>
        <v>7338</v>
      </c>
      <c r="O53" s="2">
        <f>IFERROR((IF($F53="","",VLOOKUP($F53,Prices!$A$2:$D$174,3,0))*$G53),"")</f>
        <v>3737</v>
      </c>
      <c r="P53" s="2">
        <f>IF(OR($L53="",$M53=""),"",$M53-($L53-0.1*'Top 8'!$J$5*$O53))</f>
        <v>-45.29999999999927</v>
      </c>
      <c r="Q53" s="2">
        <f>IF($P53="","",$P53*3000)</f>
        <v>-135899.99999999782</v>
      </c>
      <c r="R53" s="5">
        <f>IF($P53="","",$P53+ROW()/1000000)</f>
        <v>-45.299945999999274</v>
      </c>
    </row>
    <row r="54">
      <c r="A54" s="0" t="inlineStr">
        <is>
          <t xml:space="preserve">Extended anti-venom+(4)</t>
        </is>
      </c>
      <c r="B54" s="2">
        <v>94</v>
      </c>
      <c r="C54" s="4">
        <v>80</v>
      </c>
      <c r="D54" s="0" t="inlineStr">
        <is>
          <t xml:space="preserve">Anti-venom+(4)</t>
        </is>
      </c>
      <c r="E54" s="2">
        <v>1</v>
      </c>
      <c r="F54" s="0" t="inlineStr">
        <is>
          <t xml:space="preserve">Araxyte venom sac</t>
        </is>
      </c>
      <c r="G54" s="2">
        <v>4</v>
      </c>
      <c r="H54" s="0"/>
      <c r="I54" s="2"/>
      <c r="J54" s="0"/>
      <c r="K54" s="2"/>
      <c r="L54" s="2">
        <f>IFERROR(0.75*((IF($D54="","",VLOOKUP($D54,Prices!$A$2:$D$174,3,0))*$E54)+(IF($F54="","",VLOOKUP($F54,Prices!$A$2:$D$174,3,0))*$G54)),"")</f>
        <v>14163.75</v>
      </c>
      <c r="M54" s="2">
        <f>IFERROR(VLOOKUP($A54,Prices!$A$2:$D$174,4,0),"")</f>
        <v>18171</v>
      </c>
      <c r="N54" s="2">
        <f>IF(ISNUMBER(SEARCH("(4)",$A54)),IFERROR(VLOOKUP(SUBSTITUTE($A54,"(4)","(2)"),Prices!$A$2:$D$174,4,0),""),"")</f>
        <v>9840</v>
      </c>
      <c r="O54" s="2">
        <f>IFERROR(0.75*((IF($F54="","",VLOOKUP($F54,Prices!$A$2:$D$174,3,0))*$G54)),"")</f>
        <v>3201</v>
      </c>
      <c r="P54" s="2">
        <f>IF(OR($L54="",$M54=""),"",(3+0.15*'Top 8'!$J$4)*($M54+$N54)/6-($L54-0.1*'Top 8'!$J$5*$O54))</f>
        <v>862.125</v>
      </c>
      <c r="Q54" s="2">
        <f>IF($P54="","",$P54*3000)</f>
        <v>2586375</v>
      </c>
      <c r="R54" s="5">
        <f>IF($P54="","",$P54+ROW()/1000000)</f>
        <v>862.125055</v>
      </c>
    </row>
    <row r="55">
      <c r="A55" s="0" t="inlineStr">
        <is>
          <t xml:space="preserve">Extended super antifire(4)</t>
        </is>
      </c>
      <c r="B55" s="2">
        <v>98</v>
      </c>
      <c r="C55" s="4">
        <v>160</v>
      </c>
      <c r="D55" s="0" t="inlineStr">
        <is>
          <t xml:space="preserve">Super antifire potion(4)</t>
        </is>
      </c>
      <c r="E55" s="2">
        <v>1</v>
      </c>
      <c r="F55" s="0" t="inlineStr">
        <is>
          <t xml:space="preserve">Lava scale shard</t>
        </is>
      </c>
      <c r="G55" s="2">
        <v>4</v>
      </c>
      <c r="H55" s="0"/>
      <c r="I55" s="2"/>
      <c r="J55" s="0"/>
      <c r="K55" s="2"/>
      <c r="L55" s="2">
        <f>IFERROR(0.75*((IF($D55="","",VLOOKUP($D55,Prices!$A$2:$D$174,3,0))*$E55)+(IF($F55="","",VLOOKUP($F55,Prices!$A$2:$D$174,3,0))*$G55)),"")</f>
        <v>14770.5</v>
      </c>
      <c r="M55" s="2">
        <f>IFERROR(VLOOKUP($A55,Prices!$A$2:$D$174,4,0),"")</f>
        <v>17330</v>
      </c>
      <c r="N55" s="2">
        <f>IF(ISNUMBER(SEARCH("(4)",$A55)),IFERROR(VLOOKUP(SUBSTITUTE($A55,"(4)","(2)"),Prices!$A$2:$D$174,4,0),""),"")</f>
        <v>9246</v>
      </c>
      <c r="O55" s="2">
        <f>IFERROR(0.75*((IF($F55="","",VLOOKUP($F55,Prices!$A$2:$D$174,3,0))*$G55)),"")</f>
        <v>261</v>
      </c>
      <c r="P55" s="2">
        <f>IF(OR($L55="",$M55=""),"",(3+0.15*'Top 8'!$J$4)*($M55+$N55)/6-($L55-0.1*'Top 8'!$J$5*$O55))</f>
        <v>-792.0000000000018</v>
      </c>
      <c r="Q55" s="2">
        <f>IF($P55="","",$P55*3000)</f>
        <v>-2376000.0000000056</v>
      </c>
      <c r="R55" s="5">
        <f>IF($P55="","",$P55+ROW()/1000000)</f>
        <v>-791.9999440000018</v>
      </c>
    </row>
  </sheetData>
</worksheet>
</file>

<file path=xl/worksheets/sheet3.xml><?xml version="1.0" encoding="utf-8"?>
<worksheet xmlns="http://schemas.openxmlformats.org/spreadsheetml/2006/main">
  <cols>
    <col min="1" max="1" width="34" customWidth="1"/>
    <col min="2" max="2" width="9" customWidth="1"/>
    <col min="3" max="3" width="13" customWidth="1"/>
    <col min="4" max="4" width="24" customWidth="1"/>
    <col min="5" max="5" width="19" customWidth="1"/>
  </cols>
  <sheetData>
    <row r="1">
      <c r="A1" s="1" t="inlineStr">
        <is>
          <t xml:space="preserve">Item</t>
        </is>
      </c>
      <c r="B1" s="1" t="inlineStr">
        <is>
          <t xml:space="preserve">ID</t>
        </is>
      </c>
      <c r="C1" s="1" t="inlineStr">
        <is>
          <t xml:space="preserve">Buy price</t>
        </is>
      </c>
      <c r="D1" s="1" t="inlineStr">
        <is>
          <t xml:space="preserve">Sell price (after 2% GE tax)</t>
        </is>
      </c>
      <c r="E1" s="1" t="inlineStr">
        <is>
          <t xml:space="preserve">Last updated (UTC)</t>
        </is>
      </c>
    </row>
    <row r="2">
      <c r="A2" s="0" t="inlineStr">
        <is>
          <t xml:space="preserve">Agility potion(2)</t>
        </is>
      </c>
      <c r="B2" s="2">
        <v>3036</v>
      </c>
      <c r="C2" s="2">
        <v>210</v>
      </c>
      <c r="D2" s="2">
        <v>206</v>
      </c>
      <c r="E2" s="5" t="inlineStr">
        <is>
          <t xml:space="preserve">2026-09-15 03:03</t>
        </is>
      </c>
    </row>
    <row r="3">
      <c r="A3" s="0" t="inlineStr">
        <is>
          <t xml:space="preserve">Agility potion(4)</t>
        </is>
      </c>
      <c r="B3" s="2">
        <v>3032</v>
      </c>
      <c r="C3" s="2">
        <v>357</v>
      </c>
      <c r="D3" s="2">
        <v>350</v>
      </c>
      <c r="E3" s="5" t="inlineStr">
        <is>
          <t xml:space="preserve">2026-09-15 03:03</t>
        </is>
      </c>
    </row>
    <row r="4">
      <c r="A4" s="0" t="inlineStr">
        <is>
          <t xml:space="preserve">Aldarium</t>
        </is>
      </c>
      <c r="B4" s="2">
        <v>29993</v>
      </c>
      <c r="C4" s="2">
        <v>49018</v>
      </c>
      <c r="D4" s="2">
        <v>48038</v>
      </c>
      <c r="E4" s="5" t="inlineStr">
        <is>
          <t xml:space="preserve">2026-09-15 03:03</t>
        </is>
      </c>
    </row>
    <row r="5">
      <c r="A5" s="0" t="inlineStr">
        <is>
          <t xml:space="preserve">Amylase crystal</t>
        </is>
      </c>
      <c r="B5" s="2">
        <v>12640</v>
      </c>
      <c r="C5" s="2">
        <v>507</v>
      </c>
      <c r="D5" s="2">
        <v>497</v>
      </c>
      <c r="E5" s="5" t="inlineStr">
        <is>
          <t xml:space="preserve">2026-09-15 03:03</t>
        </is>
      </c>
    </row>
    <row r="6">
      <c r="A6" s="0" t="inlineStr">
        <is>
          <t xml:space="preserve">Ancient brew(2)</t>
        </is>
      </c>
      <c r="B6" s="2">
        <v>26344</v>
      </c>
      <c r="C6" s="2">
        <v>1545</v>
      </c>
      <c r="D6" s="2">
        <v>1515</v>
      </c>
      <c r="E6" s="5" t="inlineStr">
        <is>
          <t xml:space="preserve">2026-09-15 03:03</t>
        </is>
      </c>
    </row>
    <row r="7">
      <c r="A7" s="0" t="inlineStr">
        <is>
          <t xml:space="preserve">Ancient brew(4)</t>
        </is>
      </c>
      <c r="B7" s="2">
        <v>26340</v>
      </c>
      <c r="C7" s="2">
        <v>2976</v>
      </c>
      <c r="D7" s="2">
        <v>2917</v>
      </c>
      <c r="E7" s="5" t="inlineStr">
        <is>
          <t xml:space="preserve">2026-09-15 03:03</t>
        </is>
      </c>
    </row>
    <row r="8">
      <c r="A8" s="0" t="inlineStr">
        <is>
          <t xml:space="preserve">Ancient essence</t>
        </is>
      </c>
      <c r="B8" s="2">
        <v>27616</v>
      </c>
      <c r="C8" s="2">
        <v>19</v>
      </c>
      <c r="D8" s="2">
        <v>19</v>
      </c>
      <c r="E8" s="5" t="inlineStr">
        <is>
          <t xml:space="preserve">2026-09-15 03:03</t>
        </is>
      </c>
    </row>
    <row r="9">
      <c r="A9" s="0" t="inlineStr">
        <is>
          <t xml:space="preserve">Anti-venom(2)</t>
        </is>
      </c>
      <c r="B9" s="2">
        <v>12909</v>
      </c>
      <c r="C9" s="2">
        <v>5140</v>
      </c>
      <c r="D9" s="2">
        <v>5038</v>
      </c>
      <c r="E9" s="5" t="inlineStr">
        <is>
          <t xml:space="preserve">2026-09-15 03:03</t>
        </is>
      </c>
    </row>
    <row r="10">
      <c r="A10" s="0" t="inlineStr">
        <is>
          <t xml:space="preserve">Anti-venom(4)</t>
        </is>
      </c>
      <c r="B10" s="2">
        <v>12905</v>
      </c>
      <c r="C10" s="2">
        <v>11007</v>
      </c>
      <c r="D10" s="2">
        <v>10787</v>
      </c>
      <c r="E10" s="5" t="inlineStr">
        <is>
          <t xml:space="preserve">2026-09-15 03:03</t>
        </is>
      </c>
    </row>
    <row r="11">
      <c r="A11" s="0" t="inlineStr">
        <is>
          <t xml:space="preserve">Anti-venom+(2)</t>
        </is>
      </c>
      <c r="B11" s="2">
        <v>12917</v>
      </c>
      <c r="C11" s="2">
        <v>7487</v>
      </c>
      <c r="D11" s="2">
        <v>7338</v>
      </c>
      <c r="E11" s="5" t="inlineStr">
        <is>
          <t xml:space="preserve">2026-09-15 03:03</t>
        </is>
      </c>
    </row>
    <row r="12">
      <c r="A12" s="0" t="inlineStr">
        <is>
          <t xml:space="preserve">Anti-venom+(4)</t>
        </is>
      </c>
      <c r="B12" s="2">
        <v>12913</v>
      </c>
      <c r="C12" s="2">
        <v>14617</v>
      </c>
      <c r="D12" s="2">
        <v>14325</v>
      </c>
      <c r="E12" s="5" t="inlineStr">
        <is>
          <t xml:space="preserve">2026-09-15 03:03</t>
        </is>
      </c>
    </row>
    <row r="13">
      <c r="A13" s="0" t="inlineStr">
        <is>
          <t xml:space="preserve">Antidote+(2)</t>
        </is>
      </c>
      <c r="B13" s="2">
        <v>5947</v>
      </c>
      <c r="C13" s="2">
        <v>1323</v>
      </c>
      <c r="D13" s="2">
        <v>1297</v>
      </c>
      <c r="E13" s="5" t="inlineStr">
        <is>
          <t xml:space="preserve">2026-09-15 03:03</t>
        </is>
      </c>
    </row>
    <row r="14">
      <c r="A14" s="0" t="inlineStr">
        <is>
          <t xml:space="preserve">Antidote+(4)</t>
        </is>
      </c>
      <c r="B14" s="2">
        <v>5943</v>
      </c>
      <c r="C14" s="2">
        <v>1640</v>
      </c>
      <c r="D14" s="2">
        <v>1608</v>
      </c>
      <c r="E14" s="5" t="inlineStr">
        <is>
          <t xml:space="preserve">2026-09-15 03:03</t>
        </is>
      </c>
    </row>
    <row r="15">
      <c r="A15" s="0" t="inlineStr">
        <is>
          <t xml:space="preserve">Antidote++(2)</t>
        </is>
      </c>
      <c r="B15" s="2">
        <v>5956</v>
      </c>
      <c r="C15" s="2">
        <v>3628</v>
      </c>
      <c r="D15" s="2">
        <v>3556</v>
      </c>
      <c r="E15" s="5" t="inlineStr">
        <is>
          <t xml:space="preserve">2026-09-15 03:03</t>
        </is>
      </c>
    </row>
    <row r="16">
      <c r="A16" s="0" t="inlineStr">
        <is>
          <t xml:space="preserve">Antidote++(4)</t>
        </is>
      </c>
      <c r="B16" s="2">
        <v>5952</v>
      </c>
      <c r="C16" s="2">
        <v>8758</v>
      </c>
      <c r="D16" s="2">
        <v>8583</v>
      </c>
      <c r="E16" s="5" t="inlineStr">
        <is>
          <t xml:space="preserve">2026-09-15 03:03</t>
        </is>
      </c>
    </row>
    <row r="17">
      <c r="A17" s="0" t="inlineStr">
        <is>
          <t xml:space="preserve">Antifire potion(2)</t>
        </is>
      </c>
      <c r="B17" s="2">
        <v>2456</v>
      </c>
      <c r="C17" s="2">
        <v>515</v>
      </c>
      <c r="D17" s="2">
        <v>505</v>
      </c>
      <c r="E17" s="5" t="inlineStr">
        <is>
          <t xml:space="preserve">2026-09-15 03:03</t>
        </is>
      </c>
    </row>
    <row r="18">
      <c r="A18" s="0" t="inlineStr">
        <is>
          <t xml:space="preserve">Antifire potion(4)</t>
        </is>
      </c>
      <c r="B18" s="2">
        <v>2452</v>
      </c>
      <c r="C18" s="2">
        <v>887</v>
      </c>
      <c r="D18" s="2">
        <v>870</v>
      </c>
      <c r="E18" s="5" t="inlineStr">
        <is>
          <t xml:space="preserve">2026-09-15 03:03</t>
        </is>
      </c>
    </row>
    <row r="19">
      <c r="A19" s="0" t="inlineStr">
        <is>
          <t xml:space="preserve">Antipoison(2)</t>
        </is>
      </c>
      <c r="B19" s="2">
        <v>177</v>
      </c>
      <c r="C19" s="2">
        <v>236</v>
      </c>
      <c r="D19" s="2">
        <v>232</v>
      </c>
      <c r="E19" s="5" t="inlineStr">
        <is>
          <t xml:space="preserve">2026-09-15 03:03</t>
        </is>
      </c>
    </row>
    <row r="20">
      <c r="A20" s="0" t="inlineStr">
        <is>
          <t xml:space="preserve">Antipoison(4)</t>
        </is>
      </c>
      <c r="B20" s="2">
        <v>2446</v>
      </c>
      <c r="C20" s="2">
        <v>453</v>
      </c>
      <c r="D20" s="2">
        <v>444</v>
      </c>
      <c r="E20" s="5" t="inlineStr">
        <is>
          <t xml:space="preserve">2026-09-15 03:03</t>
        </is>
      </c>
    </row>
    <row r="21">
      <c r="A21" s="0" t="inlineStr">
        <is>
          <t xml:space="preserve">Araxyte venom sac</t>
        </is>
      </c>
      <c r="B21" s="2">
        <v>29784</v>
      </c>
      <c r="C21" s="2">
        <v>1067</v>
      </c>
      <c r="D21" s="2">
        <v>1046</v>
      </c>
      <c r="E21" s="5" t="inlineStr">
        <is>
          <t xml:space="preserve">2026-09-15 03:03</t>
        </is>
      </c>
    </row>
    <row r="22">
      <c r="A22" s="0" t="inlineStr">
        <is>
          <t xml:space="preserve">Armadyl brew(2)</t>
        </is>
      </c>
      <c r="B22" s="2">
        <v>31656</v>
      </c>
      <c r="C22" s="2">
        <v>2240</v>
      </c>
      <c r="D22" s="2">
        <v>2196</v>
      </c>
      <c r="E22" s="5" t="inlineStr">
        <is>
          <t xml:space="preserve">2026-09-15 03:03</t>
        </is>
      </c>
    </row>
    <row r="23">
      <c r="A23" s="0" t="inlineStr">
        <is>
          <t xml:space="preserve">Armadyl brew(4)</t>
        </is>
      </c>
      <c r="B23" s="2">
        <v>31650</v>
      </c>
      <c r="C23" s="2">
        <v>1272</v>
      </c>
      <c r="D23" s="2">
        <v>1247</v>
      </c>
      <c r="E23" s="5" t="inlineStr">
        <is>
          <t xml:space="preserve">2026-09-15 03:03</t>
        </is>
      </c>
    </row>
    <row r="24">
      <c r="A24" s="0" t="inlineStr">
        <is>
          <t xml:space="preserve">Ashes</t>
        </is>
      </c>
      <c r="B24" s="2">
        <v>592</v>
      </c>
      <c r="C24" s="2">
        <v>35</v>
      </c>
      <c r="D24" s="2">
        <v>35</v>
      </c>
      <c r="E24" s="5" t="inlineStr">
        <is>
          <t xml:space="preserve">2026-09-15 03:03</t>
        </is>
      </c>
    </row>
    <row r="25">
      <c r="A25" s="0" t="inlineStr">
        <is>
          <t xml:space="preserve">Attack potion(2)</t>
        </is>
      </c>
      <c r="B25" s="2">
        <v>123</v>
      </c>
      <c r="C25" s="2">
        <v>10</v>
      </c>
      <c r="D25" s="2">
        <v>10</v>
      </c>
      <c r="E25" s="5" t="inlineStr">
        <is>
          <t xml:space="preserve">2026-09-15 03:03</t>
        </is>
      </c>
    </row>
    <row r="26">
      <c r="A26" s="0" t="inlineStr">
        <is>
          <t xml:space="preserve">Attack potion(4)</t>
        </is>
      </c>
      <c r="B26" s="2">
        <v>2428</v>
      </c>
      <c r="C26" s="2">
        <v>9</v>
      </c>
      <c r="D26" s="2">
        <v>9</v>
      </c>
      <c r="E26" s="5" t="inlineStr">
        <is>
          <t xml:space="preserve">2026-09-15 03:03</t>
        </is>
      </c>
    </row>
    <row r="27">
      <c r="A27" s="0" t="inlineStr">
        <is>
          <t xml:space="preserve">avantoe potion (unf)</t>
        </is>
      </c>
      <c r="B27" s="2">
        <v>103</v>
      </c>
      <c r="C27" s="2">
        <v>2467</v>
      </c>
      <c r="D27" s="2">
        <v>2940</v>
      </c>
      <c r="E27" s="5" t="inlineStr">
        <is>
          <t xml:space="preserve">2026-09-13 11:34</t>
        </is>
      </c>
    </row>
    <row r="28">
      <c r="A28" s="0" t="inlineStr">
        <is>
          <t xml:space="preserve">Bastion potion(2)</t>
        </is>
      </c>
      <c r="B28" s="2">
        <v>22467</v>
      </c>
      <c r="C28" s="2">
        <v>6792</v>
      </c>
      <c r="D28" s="2">
        <v>6657</v>
      </c>
      <c r="E28" s="5" t="inlineStr">
        <is>
          <t xml:space="preserve">2026-09-15 03:03</t>
        </is>
      </c>
    </row>
    <row r="29">
      <c r="A29" s="0" t="inlineStr">
        <is>
          <t xml:space="preserve">Bastion potion(4)</t>
        </is>
      </c>
      <c r="B29" s="2">
        <v>22461</v>
      </c>
      <c r="C29" s="2">
        <v>15606</v>
      </c>
      <c r="D29" s="2">
        <v>15294</v>
      </c>
      <c r="E29" s="5" t="inlineStr">
        <is>
          <t xml:space="preserve">2026-09-15 03:03</t>
        </is>
      </c>
    </row>
    <row r="30">
      <c r="A30" s="0" t="inlineStr">
        <is>
          <t xml:space="preserve">Battlemage potion(2)</t>
        </is>
      </c>
      <c r="B30" s="2">
        <v>22455</v>
      </c>
      <c r="C30" s="2">
        <v>7829</v>
      </c>
      <c r="D30" s="2">
        <v>7673</v>
      </c>
      <c r="E30" s="5" t="inlineStr">
        <is>
          <t xml:space="preserve">2026-09-15 03:03</t>
        </is>
      </c>
    </row>
    <row r="31">
      <c r="A31" s="0" t="inlineStr">
        <is>
          <t xml:space="preserve">Battlemage potion(4)</t>
        </is>
      </c>
      <c r="B31" s="2">
        <v>22449</v>
      </c>
      <c r="C31" s="2">
        <v>13467</v>
      </c>
      <c r="D31" s="2">
        <v>13198</v>
      </c>
      <c r="E31" s="5" t="inlineStr">
        <is>
          <t xml:space="preserve">2026-09-15 03:03</t>
        </is>
      </c>
    </row>
    <row r="32">
      <c r="A32" s="0" t="inlineStr">
        <is>
          <t xml:space="preserve">Cactus spine</t>
        </is>
      </c>
      <c r="B32" s="2">
        <v>6016</v>
      </c>
      <c r="C32" s="2">
        <v>1613</v>
      </c>
      <c r="D32" s="2">
        <v>1581</v>
      </c>
      <c r="E32" s="5" t="inlineStr">
        <is>
          <t xml:space="preserve">2026-09-15 03:03</t>
        </is>
      </c>
    </row>
    <row r="33">
      <c r="A33" s="0" t="inlineStr">
        <is>
          <t xml:space="preserve">Cadantine</t>
        </is>
      </c>
      <c r="B33" s="2">
        <v>265</v>
      </c>
      <c r="C33" s="2">
        <v>2267</v>
      </c>
      <c r="D33" s="2">
        <v>2222</v>
      </c>
      <c r="E33" s="5" t="inlineStr">
        <is>
          <t xml:space="preserve">2026-09-15 03:03</t>
        </is>
      </c>
    </row>
    <row r="34">
      <c r="A34" s="0" t="inlineStr">
        <is>
          <t xml:space="preserve">cadantine potion (unf)</t>
        </is>
      </c>
      <c r="B34" s="2">
        <v>107</v>
      </c>
      <c r="C34" s="2">
        <v>2570</v>
      </c>
      <c r="D34" s="2">
        <v>2548</v>
      </c>
      <c r="E34" s="5" t="inlineStr">
        <is>
          <t xml:space="preserve">2026-09-13 11:34</t>
        </is>
      </c>
    </row>
    <row r="35">
      <c r="A35" s="0" t="inlineStr">
        <is>
          <t xml:space="preserve">Chocolate dust</t>
        </is>
      </c>
      <c r="B35" s="2">
        <v>1975</v>
      </c>
      <c r="C35" s="2">
        <v>56</v>
      </c>
      <c r="D35" s="2">
        <v>55</v>
      </c>
      <c r="E35" s="5" t="inlineStr">
        <is>
          <t xml:space="preserve">2026-09-15 03:03</t>
        </is>
      </c>
    </row>
    <row r="36">
      <c r="A36" s="0" t="inlineStr">
        <is>
          <t xml:space="preserve">Coconut milk</t>
        </is>
      </c>
      <c r="B36" s="2">
        <v>5935</v>
      </c>
      <c r="C36" s="2">
        <v>259</v>
      </c>
      <c r="D36" s="2">
        <v>254</v>
      </c>
      <c r="E36" s="5" t="inlineStr">
        <is>
          <t xml:space="preserve">2026-09-15 03:03</t>
        </is>
      </c>
    </row>
    <row r="37">
      <c r="A37" s="0" t="inlineStr">
        <is>
          <t xml:space="preserve">Combat potion(2)</t>
        </is>
      </c>
      <c r="B37" s="2">
        <v>9743</v>
      </c>
      <c r="C37" s="2">
        <v>161</v>
      </c>
      <c r="D37" s="2">
        <v>158</v>
      </c>
      <c r="E37" s="5" t="inlineStr">
        <is>
          <t xml:space="preserve">2026-09-15 03:03</t>
        </is>
      </c>
    </row>
    <row r="38">
      <c r="A38" s="0" t="inlineStr">
        <is>
          <t xml:space="preserve">Combat potion(4)</t>
        </is>
      </c>
      <c r="B38" s="2">
        <v>9739</v>
      </c>
      <c r="C38" s="2">
        <v>159</v>
      </c>
      <c r="D38" s="2">
        <v>156</v>
      </c>
      <c r="E38" s="5" t="inlineStr">
        <is>
          <t xml:space="preserve">2026-09-15 03:03</t>
        </is>
      </c>
    </row>
    <row r="39">
      <c r="A39" s="0" t="inlineStr">
        <is>
          <t xml:space="preserve">Compost potion(2)</t>
        </is>
      </c>
      <c r="B39" s="2">
        <v>6474</v>
      </c>
      <c r="C39" s="2">
        <v>30</v>
      </c>
      <c r="D39" s="2">
        <v>30</v>
      </c>
      <c r="E39" s="5" t="inlineStr">
        <is>
          <t xml:space="preserve">2026-09-15 03:03</t>
        </is>
      </c>
    </row>
    <row r="40">
      <c r="A40" s="0" t="inlineStr">
        <is>
          <t xml:space="preserve">Compost potion(4)</t>
        </is>
      </c>
      <c r="B40" s="2">
        <v>6470</v>
      </c>
      <c r="C40" s="2">
        <v>2</v>
      </c>
      <c r="D40" s="2">
        <v>2</v>
      </c>
      <c r="E40" s="5" t="inlineStr">
        <is>
          <t xml:space="preserve">2026-09-15 03:03</t>
        </is>
      </c>
    </row>
    <row r="41">
      <c r="A41" s="0" t="inlineStr">
        <is>
          <t xml:space="preserve">Cotton yarn</t>
        </is>
      </c>
      <c r="B41" s="2">
        <v>31469</v>
      </c>
      <c r="C41" s="2">
        <v>1937</v>
      </c>
      <c r="D41" s="2">
        <v>1899</v>
      </c>
      <c r="E41" s="5" t="inlineStr">
        <is>
          <t xml:space="preserve">2026-09-15 03:03</t>
        </is>
      </c>
    </row>
    <row r="42">
      <c r="A42" s="0" t="inlineStr">
        <is>
          <t xml:space="preserve">Crab paste</t>
        </is>
      </c>
      <c r="B42" s="2">
        <v>31708</v>
      </c>
      <c r="C42" s="2">
        <v>83</v>
      </c>
      <c r="D42" s="2">
        <v>82</v>
      </c>
      <c r="E42" s="5" t="inlineStr">
        <is>
          <t xml:space="preserve">2026-09-15 03:03</t>
        </is>
      </c>
    </row>
    <row r="43">
      <c r="A43" s="0" t="inlineStr">
        <is>
          <t xml:space="preserve">Crushed nest</t>
        </is>
      </c>
      <c r="B43" s="2">
        <v>6693</v>
      </c>
      <c r="C43" s="2">
        <v>4376</v>
      </c>
      <c r="D43" s="2">
        <v>4289</v>
      </c>
      <c r="E43" s="5" t="inlineStr">
        <is>
          <t xml:space="preserve">2026-09-15 03:03</t>
        </is>
      </c>
    </row>
    <row r="44">
      <c r="A44" s="0" t="inlineStr">
        <is>
          <t xml:space="preserve">Crushed superior dragon bones</t>
        </is>
      </c>
      <c r="B44" s="2">
        <v>21975</v>
      </c>
      <c r="C44" s="2">
        <v>20326</v>
      </c>
      <c r="D44" s="2">
        <v>19920</v>
      </c>
      <c r="E44" s="5" t="inlineStr">
        <is>
          <t xml:space="preserve">2026-09-15 03:03</t>
        </is>
      </c>
    </row>
    <row r="45">
      <c r="A45" s="0" t="inlineStr">
        <is>
          <t xml:space="preserve">Cup of hot water</t>
        </is>
      </c>
      <c r="B45" s="2">
        <v>4460</v>
      </c>
      <c r="C45" s="2">
        <v>431</v>
      </c>
      <c r="D45" s="2">
        <v>423</v>
      </c>
      <c r="E45" s="5" t="inlineStr">
        <is>
          <t xml:space="preserve">2026-09-15 03:03</t>
        </is>
      </c>
    </row>
    <row r="46">
      <c r="A46" s="0" t="inlineStr">
        <is>
          <t xml:space="preserve">Defence potion(2)</t>
        </is>
      </c>
      <c r="B46" s="2">
        <v>135</v>
      </c>
      <c r="C46" s="2">
        <v>342</v>
      </c>
      <c r="D46" s="2">
        <v>336</v>
      </c>
      <c r="E46" s="5" t="inlineStr">
        <is>
          <t xml:space="preserve">2026-09-15 03:03</t>
        </is>
      </c>
    </row>
    <row r="47">
      <c r="A47" s="0" t="inlineStr">
        <is>
          <t xml:space="preserve">Defence potion(4)</t>
        </is>
      </c>
      <c r="B47" s="2">
        <v>2432</v>
      </c>
      <c r="C47" s="2">
        <v>582</v>
      </c>
      <c r="D47" s="2">
        <v>571</v>
      </c>
      <c r="E47" s="5" t="inlineStr">
        <is>
          <t xml:space="preserve">2026-09-15 03:03</t>
        </is>
      </c>
    </row>
    <row r="48">
      <c r="A48" s="0" t="inlineStr">
        <is>
          <t xml:space="preserve">Demonic tallow</t>
        </is>
      </c>
      <c r="B48" s="2">
        <v>30800</v>
      </c>
      <c r="C48" s="2">
        <v>180</v>
      </c>
      <c r="D48" s="2">
        <v>177</v>
      </c>
      <c r="E48" s="5" t="inlineStr">
        <is>
          <t xml:space="preserve">2026-09-15 03:03</t>
        </is>
      </c>
    </row>
    <row r="49">
      <c r="A49" s="0" t="inlineStr">
        <is>
          <t xml:space="preserve">Dragon scale dust</t>
        </is>
      </c>
      <c r="B49" s="2">
        <v>241</v>
      </c>
      <c r="C49" s="2">
        <v>70</v>
      </c>
      <c r="D49" s="2">
        <v>69</v>
      </c>
      <c r="E49" s="5" t="inlineStr">
        <is>
          <t xml:space="preserve">2026-09-15 03:03</t>
        </is>
      </c>
    </row>
    <row r="50">
      <c r="A50" s="0" t="inlineStr">
        <is>
          <t xml:space="preserve">dwarf weed potion (unf)</t>
        </is>
      </c>
      <c r="B50" s="2">
        <v>109</v>
      </c>
      <c r="C50" s="2">
        <v>1680</v>
      </c>
      <c r="D50" s="2">
        <v>1690</v>
      </c>
      <c r="E50" s="5" t="inlineStr">
        <is>
          <t xml:space="preserve">2026-09-13 11:34</t>
        </is>
      </c>
    </row>
    <row r="51">
      <c r="A51" s="0" t="inlineStr">
        <is>
          <t xml:space="preserve">elkhorn potion (unf)</t>
        </is>
      </c>
      <c r="B51" s="2">
        <v>31662</v>
      </c>
      <c r="C51" s="2">
        <v>1200</v>
      </c>
      <c r="D51" s="2">
        <v>1295</v>
      </c>
      <c r="E51" s="5" t="inlineStr">
        <is>
          <t xml:space="preserve">2026-09-13 11:34</t>
        </is>
      </c>
    </row>
    <row r="52">
      <c r="A52" s="0" t="inlineStr">
        <is>
          <t xml:space="preserve">Energy potion(2)</t>
        </is>
      </c>
      <c r="B52" s="2">
        <v>3012</v>
      </c>
      <c r="C52" s="2">
        <v>85</v>
      </c>
      <c r="D52" s="2">
        <v>84</v>
      </c>
      <c r="E52" s="5" t="inlineStr">
        <is>
          <t xml:space="preserve">2026-09-15 03:03</t>
        </is>
      </c>
    </row>
    <row r="53">
      <c r="A53" s="0" t="inlineStr">
        <is>
          <t xml:space="preserve">Energy potion(4)</t>
        </is>
      </c>
      <c r="B53" s="2">
        <v>3008</v>
      </c>
      <c r="C53" s="2">
        <v>174</v>
      </c>
      <c r="D53" s="2">
        <v>171</v>
      </c>
      <c r="E53" s="5" t="inlineStr">
        <is>
          <t xml:space="preserve">2026-09-15 03:03</t>
        </is>
      </c>
    </row>
    <row r="54">
      <c r="A54" s="0" t="inlineStr">
        <is>
          <t xml:space="preserve">Extended anti-venom+(2)</t>
        </is>
      </c>
      <c r="B54" s="2">
        <v>29830</v>
      </c>
      <c r="C54" s="2">
        <v>10040</v>
      </c>
      <c r="D54" s="2">
        <v>9840</v>
      </c>
      <c r="E54" s="5" t="inlineStr">
        <is>
          <t xml:space="preserve">2026-09-15 03:03</t>
        </is>
      </c>
    </row>
    <row r="55">
      <c r="A55" s="0" t="inlineStr">
        <is>
          <t xml:space="preserve">Extended anti-venom+(4)</t>
        </is>
      </c>
      <c r="B55" s="2">
        <v>29824</v>
      </c>
      <c r="C55" s="2">
        <v>18541</v>
      </c>
      <c r="D55" s="2">
        <v>18171</v>
      </c>
      <c r="E55" s="5" t="inlineStr">
        <is>
          <t xml:space="preserve">2026-09-15 03:03</t>
        </is>
      </c>
    </row>
    <row r="56">
      <c r="A56" s="0" t="inlineStr">
        <is>
          <t xml:space="preserve">Extended antifire(2)</t>
        </is>
      </c>
      <c r="B56" s="2">
        <v>11955</v>
      </c>
      <c r="C56" s="2">
        <v>217</v>
      </c>
      <c r="D56" s="2">
        <v>213</v>
      </c>
      <c r="E56" s="5" t="inlineStr">
        <is>
          <t xml:space="preserve">2026-09-15 03:03</t>
        </is>
      </c>
    </row>
    <row r="57">
      <c r="A57" s="0" t="inlineStr">
        <is>
          <t xml:space="preserve">Extended antifire(4)</t>
        </is>
      </c>
      <c r="B57" s="2">
        <v>11951</v>
      </c>
      <c r="C57" s="2">
        <v>268</v>
      </c>
      <c r="D57" s="2">
        <v>263</v>
      </c>
      <c r="E57" s="5" t="inlineStr">
        <is>
          <t xml:space="preserve">2026-09-15 03:03</t>
        </is>
      </c>
    </row>
    <row r="58">
      <c r="A58" s="0" t="inlineStr">
        <is>
          <t xml:space="preserve">Extended stamina potion(2)</t>
        </is>
      </c>
      <c r="B58" s="2">
        <v>31644</v>
      </c>
      <c r="C58" s="2">
        <v>3674</v>
      </c>
      <c r="D58" s="2">
        <v>3601</v>
      </c>
      <c r="E58" s="5" t="inlineStr">
        <is>
          <t xml:space="preserve">2026-09-15 03:03</t>
        </is>
      </c>
    </row>
    <row r="59">
      <c r="A59" s="0" t="inlineStr">
        <is>
          <t xml:space="preserve">Extended stamina potion(4)</t>
        </is>
      </c>
      <c r="B59" s="2">
        <v>31638</v>
      </c>
      <c r="C59" s="2">
        <v>7754</v>
      </c>
      <c r="D59" s="2">
        <v>7599</v>
      </c>
      <c r="E59" s="5" t="inlineStr">
        <is>
          <t xml:space="preserve">2026-09-15 03:03</t>
        </is>
      </c>
    </row>
    <row r="60">
      <c r="A60" s="0" t="inlineStr">
        <is>
          <t xml:space="preserve">Extended super antifire(2)</t>
        </is>
      </c>
      <c r="B60" s="2">
        <v>22215</v>
      </c>
      <c r="C60" s="2">
        <v>9434</v>
      </c>
      <c r="D60" s="2">
        <v>9246</v>
      </c>
      <c r="E60" s="5" t="inlineStr">
        <is>
          <t xml:space="preserve">2026-09-15 03:03</t>
        </is>
      </c>
    </row>
    <row r="61">
      <c r="A61" s="0" t="inlineStr">
        <is>
          <t xml:space="preserve">Extended super antifire(4)</t>
        </is>
      </c>
      <c r="B61" s="2">
        <v>22209</v>
      </c>
      <c r="C61" s="2">
        <v>17683</v>
      </c>
      <c r="D61" s="2">
        <v>17330</v>
      </c>
      <c r="E61" s="5" t="inlineStr">
        <is>
          <t xml:space="preserve">2026-09-15 03:03</t>
        </is>
      </c>
    </row>
    <row r="62">
      <c r="A62" s="0" t="inlineStr">
        <is>
          <t xml:space="preserve">Extreme energy potion(2)</t>
        </is>
      </c>
      <c r="B62" s="2">
        <v>31620</v>
      </c>
      <c r="C62" s="2">
        <v>2378</v>
      </c>
      <c r="D62" s="2">
        <v>2331</v>
      </c>
      <c r="E62" s="5" t="inlineStr">
        <is>
          <t xml:space="preserve">2026-09-15 03:03</t>
        </is>
      </c>
    </row>
    <row r="63">
      <c r="A63" s="0" t="inlineStr">
        <is>
          <t xml:space="preserve">Extreme energy potion(4)</t>
        </is>
      </c>
      <c r="B63" s="2">
        <v>31614</v>
      </c>
      <c r="C63" s="2">
        <v>2295</v>
      </c>
      <c r="D63" s="2">
        <v>2250</v>
      </c>
      <c r="E63" s="5" t="inlineStr">
        <is>
          <t xml:space="preserve">2026-09-15 03:03</t>
        </is>
      </c>
    </row>
    <row r="64">
      <c r="A64" s="0" t="inlineStr">
        <is>
          <t xml:space="preserve">Eye of newt</t>
        </is>
      </c>
      <c r="B64" s="2">
        <v>221</v>
      </c>
      <c r="C64" s="2">
        <v>4</v>
      </c>
      <c r="D64" s="2">
        <v>4</v>
      </c>
      <c r="E64" s="5" t="inlineStr">
        <is>
          <t xml:space="preserve">2026-09-15 03:03</t>
        </is>
      </c>
    </row>
    <row r="65">
      <c r="A65" s="0" t="inlineStr">
        <is>
          <t xml:space="preserve">Fishing potion(2)</t>
        </is>
      </c>
      <c r="B65" s="2">
        <v>153</v>
      </c>
      <c r="C65" s="2">
        <v>76</v>
      </c>
      <c r="D65" s="2">
        <v>75</v>
      </c>
      <c r="E65" s="5" t="inlineStr">
        <is>
          <t xml:space="preserve">2026-09-15 03:03</t>
        </is>
      </c>
    </row>
    <row r="66">
      <c r="A66" s="0" t="inlineStr">
        <is>
          <t xml:space="preserve">Fishing potion(4)</t>
        </is>
      </c>
      <c r="B66" s="2">
        <v>2438</v>
      </c>
      <c r="C66" s="2">
        <v>84</v>
      </c>
      <c r="D66" s="2">
        <v>83</v>
      </c>
      <c r="E66" s="5" t="inlineStr">
        <is>
          <t xml:space="preserve">2026-09-15 03:03</t>
        </is>
      </c>
    </row>
    <row r="67">
      <c r="A67" s="0" t="inlineStr">
        <is>
          <t xml:space="preserve">Forgotten brew(2)</t>
        </is>
      </c>
      <c r="B67" s="2">
        <v>27635</v>
      </c>
      <c r="C67" s="2">
        <v>2656</v>
      </c>
      <c r="D67" s="2">
        <v>2603</v>
      </c>
      <c r="E67" s="5" t="inlineStr">
        <is>
          <t xml:space="preserve">2026-09-15 03:03</t>
        </is>
      </c>
    </row>
    <row r="68">
      <c r="A68" s="0" t="inlineStr">
        <is>
          <t xml:space="preserve">Forgotten brew(4)</t>
        </is>
      </c>
      <c r="B68" s="2">
        <v>27629</v>
      </c>
      <c r="C68" s="2">
        <v>3846</v>
      </c>
      <c r="D68" s="2">
        <v>3770</v>
      </c>
      <c r="E68" s="5" t="inlineStr">
        <is>
          <t xml:space="preserve">2026-09-15 03:03</t>
        </is>
      </c>
    </row>
    <row r="69">
      <c r="A69" s="0" t="inlineStr">
        <is>
          <t xml:space="preserve">Garlic</t>
        </is>
      </c>
      <c r="B69" s="2">
        <v>1550</v>
      </c>
      <c r="C69" s="2">
        <v>22</v>
      </c>
      <c r="D69" s="2">
        <v>22</v>
      </c>
      <c r="E69" s="5" t="inlineStr">
        <is>
          <t xml:space="preserve">2026-09-15 03:03</t>
        </is>
      </c>
    </row>
    <row r="70">
      <c r="A70" s="0" t="inlineStr">
        <is>
          <t xml:space="preserve">Goading potion(2)</t>
        </is>
      </c>
      <c r="B70" s="2">
        <v>30143</v>
      </c>
      <c r="C70" s="2">
        <v>31874</v>
      </c>
      <c r="D70" s="2">
        <v>31237</v>
      </c>
      <c r="E70" s="5" t="inlineStr">
        <is>
          <t xml:space="preserve">2026-09-15 03:03</t>
        </is>
      </c>
    </row>
    <row r="71">
      <c r="A71" s="0" t="inlineStr">
        <is>
          <t xml:space="preserve">Goading potion(4)</t>
        </is>
      </c>
      <c r="B71" s="2">
        <v>30137</v>
      </c>
      <c r="C71" s="2">
        <v>59527</v>
      </c>
      <c r="D71" s="2">
        <v>58337</v>
      </c>
      <c r="E71" s="5" t="inlineStr">
        <is>
          <t xml:space="preserve">2026-09-15 03:03</t>
        </is>
      </c>
    </row>
    <row r="72">
      <c r="A72" s="0" t="inlineStr">
        <is>
          <t xml:space="preserve">Goat horn dust</t>
        </is>
      </c>
      <c r="B72" s="2">
        <v>9736</v>
      </c>
      <c r="C72" s="2">
        <v>130</v>
      </c>
      <c r="D72" s="2">
        <v>128</v>
      </c>
      <c r="E72" s="5" t="inlineStr">
        <is>
          <t xml:space="preserve">2026-09-15 03:03</t>
        </is>
      </c>
    </row>
    <row r="73">
      <c r="A73" s="0" t="inlineStr">
        <is>
          <t xml:space="preserve">Guam leaf</t>
        </is>
      </c>
      <c r="B73" s="2">
        <v>249</v>
      </c>
      <c r="C73" s="2">
        <v>371</v>
      </c>
      <c r="D73" s="2">
        <v>364</v>
      </c>
      <c r="E73" s="5" t="inlineStr">
        <is>
          <t xml:space="preserve">2026-09-15 03:03</t>
        </is>
      </c>
    </row>
    <row r="74">
      <c r="A74" s="0" t="inlineStr">
        <is>
          <t xml:space="preserve">guam potion (unf)</t>
        </is>
      </c>
      <c r="B74" s="2">
        <v>91</v>
      </c>
      <c r="C74" s="2">
        <v>296</v>
      </c>
      <c r="D74" s="2">
        <v>324</v>
      </c>
      <c r="E74" s="5" t="inlineStr">
        <is>
          <t xml:space="preserve">2026-09-13 11:34</t>
        </is>
      </c>
    </row>
    <row r="75">
      <c r="A75" s="0" t="inlineStr">
        <is>
          <t xml:space="preserve">Guthix balance(2)</t>
        </is>
      </c>
      <c r="B75" s="2">
        <v>7664</v>
      </c>
      <c r="C75" s="2">
        <v>522</v>
      </c>
      <c r="D75" s="2">
        <v>512</v>
      </c>
      <c r="E75" s="5" t="inlineStr">
        <is>
          <t xml:space="preserve">2026-09-15 03:03</t>
        </is>
      </c>
    </row>
    <row r="76">
      <c r="A76" s="0" t="inlineStr">
        <is>
          <t xml:space="preserve">Guthix balance(4)</t>
        </is>
      </c>
      <c r="B76" s="2">
        <v>7660</v>
      </c>
      <c r="C76" s="2">
        <v>1146</v>
      </c>
      <c r="D76" s="2">
        <v>1124</v>
      </c>
      <c r="E76" s="5" t="inlineStr">
        <is>
          <t xml:space="preserve">2026-09-15 03:03</t>
        </is>
      </c>
    </row>
    <row r="77">
      <c r="A77" s="0" t="inlineStr">
        <is>
          <t xml:space="preserve">Guthix rest(2)</t>
        </is>
      </c>
      <c r="B77" s="2">
        <v>4421</v>
      </c>
      <c r="C77" s="2">
        <v>1256</v>
      </c>
      <c r="D77" s="2">
        <v>1231</v>
      </c>
      <c r="E77" s="5" t="inlineStr">
        <is>
          <t xml:space="preserve">2026-09-15 03:03</t>
        </is>
      </c>
    </row>
    <row r="78">
      <c r="A78" s="0" t="inlineStr">
        <is>
          <t xml:space="preserve">Guthix rest(4)</t>
        </is>
      </c>
      <c r="B78" s="2">
        <v>4417</v>
      </c>
      <c r="C78" s="2">
        <v>2851</v>
      </c>
      <c r="D78" s="2">
        <v>2794</v>
      </c>
      <c r="E78" s="5" t="inlineStr">
        <is>
          <t xml:space="preserve">2026-09-15 03:03</t>
        </is>
      </c>
    </row>
    <row r="79">
      <c r="A79" s="0" t="inlineStr">
        <is>
          <t xml:space="preserve">Haddock eye</t>
        </is>
      </c>
      <c r="B79" s="2">
        <v>32357</v>
      </c>
      <c r="C79" s="2">
        <v>90</v>
      </c>
      <c r="D79" s="2">
        <v>89</v>
      </c>
      <c r="E79" s="5" t="inlineStr">
        <is>
          <t xml:space="preserve">2026-09-15 03:03</t>
        </is>
      </c>
    </row>
    <row r="80">
      <c r="A80" s="0" t="inlineStr">
        <is>
          <t xml:space="preserve">Haemostatic dressing (2)</t>
        </is>
      </c>
      <c r="B80" s="2">
        <v>31596</v>
      </c>
      <c r="C80" s="2">
        <v>2849</v>
      </c>
      <c r="D80" s="2">
        <v>2793</v>
      </c>
      <c r="E80" s="5" t="inlineStr">
        <is>
          <t xml:space="preserve">2026-09-15 03:03</t>
        </is>
      </c>
    </row>
    <row r="81">
      <c r="A81" s="0" t="inlineStr">
        <is>
          <t xml:space="preserve">Haemostatic dressing (4)</t>
        </is>
      </c>
      <c r="B81" s="2">
        <v>31590</v>
      </c>
      <c r="C81" s="2">
        <v>6457</v>
      </c>
      <c r="D81" s="2">
        <v>6328</v>
      </c>
      <c r="E81" s="5" t="inlineStr">
        <is>
          <t xml:space="preserve">2026-09-15 03:03</t>
        </is>
      </c>
    </row>
    <row r="82">
      <c r="A82" s="0" t="inlineStr">
        <is>
          <t xml:space="preserve">Haemostatic poultice</t>
        </is>
      </c>
      <c r="B82" s="2">
        <v>31587</v>
      </c>
      <c r="C82" s="2">
        <v>3218</v>
      </c>
      <c r="D82" s="2">
        <v>3154</v>
      </c>
      <c r="E82" s="5" t="inlineStr">
        <is>
          <t xml:space="preserve">2026-09-15 03:03</t>
        </is>
      </c>
    </row>
    <row r="83">
      <c r="A83" s="0" t="inlineStr">
        <is>
          <t xml:space="preserve">Harralander</t>
        </is>
      </c>
      <c r="B83" s="2">
        <v>255</v>
      </c>
      <c r="C83" s="2">
        <v>438</v>
      </c>
      <c r="D83" s="2">
        <v>430</v>
      </c>
      <c r="E83" s="5" t="inlineStr">
        <is>
          <t xml:space="preserve">2026-09-15 03:03</t>
        </is>
      </c>
    </row>
    <row r="84">
      <c r="A84" s="0" t="inlineStr">
        <is>
          <t xml:space="preserve">harralander potion (unf)</t>
        </is>
      </c>
      <c r="B84" s="2">
        <v>97</v>
      </c>
      <c r="C84" s="2">
        <v>542</v>
      </c>
      <c r="D84" s="2">
        <v>546</v>
      </c>
      <c r="E84" s="5" t="inlineStr">
        <is>
          <t xml:space="preserve">2026-09-13 11:34</t>
        </is>
      </c>
    </row>
    <row r="85">
      <c r="A85" s="0" t="inlineStr">
        <is>
          <t xml:space="preserve">huasca potion (unf)</t>
        </is>
      </c>
      <c r="B85" s="2">
        <v>30100</v>
      </c>
      <c r="C85" s="2">
        <v>8060</v>
      </c>
      <c r="D85" s="2">
        <v>7933</v>
      </c>
      <c r="E85" s="5" t="inlineStr">
        <is>
          <t xml:space="preserve">2026-09-13 11:34</t>
        </is>
      </c>
    </row>
    <row r="86">
      <c r="A86" s="0" t="inlineStr">
        <is>
          <t xml:space="preserve">Hunter potion(2)</t>
        </is>
      </c>
      <c r="B86" s="2">
        <v>10002</v>
      </c>
      <c r="C86" s="2">
        <v>1177</v>
      </c>
      <c r="D86" s="2">
        <v>1154</v>
      </c>
      <c r="E86" s="5" t="inlineStr">
        <is>
          <t xml:space="preserve">2026-09-15 03:03</t>
        </is>
      </c>
    </row>
    <row r="87">
      <c r="A87" s="0" t="inlineStr">
        <is>
          <t xml:space="preserve">Hunter potion(4)</t>
        </is>
      </c>
      <c r="B87" s="2">
        <v>9998</v>
      </c>
      <c r="C87" s="2">
        <v>571</v>
      </c>
      <c r="D87" s="2">
        <v>560</v>
      </c>
      <c r="E87" s="5" t="inlineStr">
        <is>
          <t xml:space="preserve">2026-09-15 03:03</t>
        </is>
      </c>
    </row>
    <row r="88">
      <c r="A88" s="0" t="inlineStr">
        <is>
          <t xml:space="preserve">Irit leaf</t>
        </is>
      </c>
      <c r="B88" s="2">
        <v>259</v>
      </c>
      <c r="C88" s="2">
        <v>1490</v>
      </c>
      <c r="D88" s="2">
        <v>1461</v>
      </c>
      <c r="E88" s="5" t="inlineStr">
        <is>
          <t xml:space="preserve">2026-09-15 03:03</t>
        </is>
      </c>
    </row>
    <row r="89">
      <c r="A89" s="0" t="inlineStr">
        <is>
          <t xml:space="preserve">irit potion (unf)</t>
        </is>
      </c>
      <c r="B89" s="2">
        <v>101</v>
      </c>
      <c r="C89" s="2">
        <v>1731</v>
      </c>
      <c r="D89" s="2">
        <v>1713</v>
      </c>
      <c r="E89" s="5" t="inlineStr">
        <is>
          <t xml:space="preserve">2026-09-13 11:34</t>
        </is>
      </c>
    </row>
    <row r="90">
      <c r="A90" s="0" t="inlineStr">
        <is>
          <t xml:space="preserve">Jangerberries</t>
        </is>
      </c>
      <c r="B90" s="2">
        <v>247</v>
      </c>
      <c r="C90" s="2">
        <v>329</v>
      </c>
      <c r="D90" s="2">
        <v>323</v>
      </c>
      <c r="E90" s="5" t="inlineStr">
        <is>
          <t xml:space="preserve">2026-09-15 03:03</t>
        </is>
      </c>
    </row>
    <row r="91">
      <c r="A91" s="0" t="inlineStr">
        <is>
          <t xml:space="preserve">Kebbit teeth dust</t>
        </is>
      </c>
      <c r="B91" s="2">
        <v>10111</v>
      </c>
      <c r="C91" s="2">
        <v>765</v>
      </c>
      <c r="D91" s="2">
        <v>750</v>
      </c>
      <c r="E91" s="5" t="inlineStr">
        <is>
          <t xml:space="preserve">2026-09-15 03:03</t>
        </is>
      </c>
    </row>
    <row r="92">
      <c r="A92" s="0" t="inlineStr">
        <is>
          <t xml:space="preserve">kwuarm potion (unf)</t>
        </is>
      </c>
      <c r="B92" s="2">
        <v>105</v>
      </c>
      <c r="C92" s="2">
        <v>2610</v>
      </c>
      <c r="D92" s="2">
        <v>2596</v>
      </c>
      <c r="E92" s="5" t="inlineStr">
        <is>
          <t xml:space="preserve">2026-09-13 11:34</t>
        </is>
      </c>
    </row>
    <row r="93">
      <c r="A93" s="0" t="inlineStr">
        <is>
          <t xml:space="preserve">lantadyme potion (unf)</t>
        </is>
      </c>
      <c r="B93" s="2">
        <v>2483</v>
      </c>
      <c r="C93" s="2">
        <v>1684</v>
      </c>
      <c r="D93" s="2">
        <v>1676</v>
      </c>
      <c r="E93" s="5" t="inlineStr">
        <is>
          <t xml:space="preserve">2026-09-13 11:34</t>
        </is>
      </c>
    </row>
    <row r="94">
      <c r="A94" s="0" t="inlineStr">
        <is>
          <t xml:space="preserve">Lava scale shard</t>
        </is>
      </c>
      <c r="B94" s="2">
        <v>11994</v>
      </c>
      <c r="C94" s="2">
        <v>87</v>
      </c>
      <c r="D94" s="2">
        <v>86</v>
      </c>
      <c r="E94" s="5" t="inlineStr">
        <is>
          <t xml:space="preserve">2026-09-15 03:03</t>
        </is>
      </c>
    </row>
    <row r="95">
      <c r="A95" s="0" t="inlineStr">
        <is>
          <t xml:space="preserve">Lily of the Sands</t>
        </is>
      </c>
      <c r="B95" s="2">
        <v>27272</v>
      </c>
      <c r="C95" s="2">
        <v>1895</v>
      </c>
      <c r="D95" s="2">
        <v>1858</v>
      </c>
      <c r="E95" s="5" t="inlineStr">
        <is>
          <t xml:space="preserve">2026-09-15 03:03</t>
        </is>
      </c>
    </row>
    <row r="96">
      <c r="A96" s="0" t="inlineStr">
        <is>
          <t xml:space="preserve">Limpwurt root</t>
        </is>
      </c>
      <c r="B96" s="2">
        <v>225</v>
      </c>
      <c r="C96" s="2">
        <v>221</v>
      </c>
      <c r="D96" s="2">
        <v>217</v>
      </c>
      <c r="E96" s="5" t="inlineStr">
        <is>
          <t xml:space="preserve">2026-09-15 03:03</t>
        </is>
      </c>
    </row>
    <row r="97">
      <c r="A97" s="0" t="inlineStr">
        <is>
          <t xml:space="preserve">Magic potion(2)</t>
        </is>
      </c>
      <c r="B97" s="2">
        <v>3044</v>
      </c>
      <c r="C97" s="2">
        <v>64</v>
      </c>
      <c r="D97" s="2">
        <v>63</v>
      </c>
      <c r="E97" s="5" t="inlineStr">
        <is>
          <t xml:space="preserve">2026-09-15 03:03</t>
        </is>
      </c>
    </row>
    <row r="98">
      <c r="A98" s="0" t="inlineStr">
        <is>
          <t xml:space="preserve">Magic potion(4)</t>
        </is>
      </c>
      <c r="B98" s="2">
        <v>3040</v>
      </c>
      <c r="C98" s="2">
        <v>126</v>
      </c>
      <c r="D98" s="2">
        <v>124</v>
      </c>
      <c r="E98" s="5" t="inlineStr">
        <is>
          <t xml:space="preserve">2026-09-15 03:03</t>
        </is>
      </c>
    </row>
    <row r="99">
      <c r="A99" s="0" t="inlineStr">
        <is>
          <t xml:space="preserve">Magic roots</t>
        </is>
      </c>
      <c r="B99" s="2">
        <v>6051</v>
      </c>
      <c r="C99" s="2">
        <v>8034</v>
      </c>
      <c r="D99" s="2">
        <v>7874</v>
      </c>
      <c r="E99" s="5" t="inlineStr">
        <is>
          <t xml:space="preserve">2026-09-15 03:03</t>
        </is>
      </c>
    </row>
    <row r="100">
      <c r="A100" s="0" t="inlineStr">
        <is>
          <t xml:space="preserve">Marlin scales</t>
        </is>
      </c>
      <c r="B100" s="2">
        <v>32362</v>
      </c>
      <c r="C100" s="2">
        <v>1158</v>
      </c>
      <c r="D100" s="2">
        <v>1135</v>
      </c>
      <c r="E100" s="5" t="inlineStr">
        <is>
          <t xml:space="preserve">2026-09-15 03:03</t>
        </is>
      </c>
    </row>
    <row r="101">
      <c r="A101" s="0" t="inlineStr">
        <is>
          <t xml:space="preserve">Marrentill</t>
        </is>
      </c>
      <c r="B101" s="2">
        <v>251</v>
      </c>
      <c r="C101" s="2">
        <v>331</v>
      </c>
      <c r="D101" s="2">
        <v>325</v>
      </c>
      <c r="E101" s="5" t="inlineStr">
        <is>
          <t xml:space="preserve">2026-09-15 03:03</t>
        </is>
      </c>
    </row>
    <row r="102">
      <c r="A102" s="0" t="inlineStr">
        <is>
          <t xml:space="preserve">marrentill potion (unf)</t>
        </is>
      </c>
      <c r="B102" s="2">
        <v>93</v>
      </c>
      <c r="C102" s="2">
        <v>239</v>
      </c>
      <c r="D102" s="2">
        <v>242</v>
      </c>
      <c r="E102" s="5" t="inlineStr">
        <is>
          <t xml:space="preserve">2026-09-13 11:34</t>
        </is>
      </c>
    </row>
    <row r="103">
      <c r="A103" s="0" t="inlineStr">
        <is>
          <t xml:space="preserve">Menaphite remedy(2)</t>
        </is>
      </c>
      <c r="B103" s="2">
        <v>27208</v>
      </c>
      <c r="C103" s="2">
        <v>933</v>
      </c>
      <c r="D103" s="2">
        <v>915</v>
      </c>
      <c r="E103" s="5" t="inlineStr">
        <is>
          <t xml:space="preserve">2026-09-15 03:03</t>
        </is>
      </c>
    </row>
    <row r="104">
      <c r="A104" s="0" t="inlineStr">
        <is>
          <t xml:space="preserve">Menaphite remedy(4)</t>
        </is>
      </c>
      <c r="B104" s="2">
        <v>27202</v>
      </c>
      <c r="C104" s="2">
        <v>2019</v>
      </c>
      <c r="D104" s="2">
        <v>1979</v>
      </c>
      <c r="E104" s="5" t="inlineStr">
        <is>
          <t xml:space="preserve">2026-09-15 03:03</t>
        </is>
      </c>
    </row>
    <row r="105">
      <c r="A105" s="0" t="inlineStr">
        <is>
          <t xml:space="preserve">Mort myre fungus</t>
        </is>
      </c>
      <c r="B105" s="2">
        <v>2970</v>
      </c>
      <c r="C105" s="2">
        <v>220</v>
      </c>
      <c r="D105" s="2">
        <v>216</v>
      </c>
      <c r="E105" s="5" t="inlineStr">
        <is>
          <t xml:space="preserve">2026-09-15 03:03</t>
        </is>
      </c>
    </row>
    <row r="106">
      <c r="A106" s="0" t="inlineStr">
        <is>
          <t xml:space="preserve">Nail beast nails</t>
        </is>
      </c>
      <c r="B106" s="2">
        <v>10937</v>
      </c>
      <c r="C106" s="2">
        <v>803</v>
      </c>
      <c r="D106" s="2">
        <v>787</v>
      </c>
      <c r="E106" s="5" t="inlineStr">
        <is>
          <t xml:space="preserve">2026-09-15 03:03</t>
        </is>
      </c>
    </row>
    <row r="107">
      <c r="A107" s="0" t="inlineStr">
        <is>
          <t xml:space="preserve">Nihil dust</t>
        </is>
      </c>
      <c r="B107" s="2">
        <v>26368</v>
      </c>
      <c r="C107" s="2">
        <v>6508</v>
      </c>
      <c r="D107" s="2">
        <v>6378</v>
      </c>
      <c r="E107" s="5" t="inlineStr">
        <is>
          <t xml:space="preserve">2026-09-15 03:03</t>
        </is>
      </c>
    </row>
    <row r="108">
      <c r="A108" s="0" t="inlineStr">
        <is>
          <t xml:space="preserve">pillar potion (unf)</t>
        </is>
      </c>
      <c r="B108" s="2">
        <v>31665</v>
      </c>
      <c r="C108" s="2">
        <v>2611</v>
      </c>
      <c r="D108" s="2">
        <v>2560</v>
      </c>
      <c r="E108" s="5" t="inlineStr">
        <is>
          <t xml:space="preserve">2026-09-13 11:34</t>
        </is>
      </c>
    </row>
    <row r="109">
      <c r="A109" s="0" t="inlineStr">
        <is>
          <t xml:space="preserve">Potato cactus</t>
        </is>
      </c>
      <c r="B109" s="2">
        <v>3138</v>
      </c>
      <c r="C109" s="2">
        <v>65</v>
      </c>
      <c r="D109" s="2">
        <v>64</v>
      </c>
      <c r="E109" s="5" t="inlineStr">
        <is>
          <t xml:space="preserve">2026-09-15 03:03</t>
        </is>
      </c>
    </row>
    <row r="110">
      <c r="A110" s="0" t="inlineStr">
        <is>
          <t xml:space="preserve">Prayer potion(2)</t>
        </is>
      </c>
      <c r="B110" s="2">
        <v>141</v>
      </c>
      <c r="C110" s="2">
        <v>4618</v>
      </c>
      <c r="D110" s="2">
        <v>4526</v>
      </c>
      <c r="E110" s="5" t="inlineStr">
        <is>
          <t xml:space="preserve">2026-09-15 03:03</t>
        </is>
      </c>
    </row>
    <row r="111">
      <c r="A111" s="0" t="inlineStr">
        <is>
          <t xml:space="preserve">Prayer potion(4)</t>
        </is>
      </c>
      <c r="B111" s="2">
        <v>2434</v>
      </c>
      <c r="C111" s="2">
        <v>9666</v>
      </c>
      <c r="D111" s="2">
        <v>9473</v>
      </c>
      <c r="E111" s="5" t="inlineStr">
        <is>
          <t xml:space="preserve">2026-09-15 03:03</t>
        </is>
      </c>
    </row>
    <row r="112">
      <c r="A112" s="0" t="inlineStr">
        <is>
          <t xml:space="preserve">Prayer regeneration potion(2)</t>
        </is>
      </c>
      <c r="B112" s="2">
        <v>30131</v>
      </c>
      <c r="C112" s="2">
        <v>37140</v>
      </c>
      <c r="D112" s="2">
        <v>36398</v>
      </c>
      <c r="E112" s="5" t="inlineStr">
        <is>
          <t xml:space="preserve">2026-09-15 03:03</t>
        </is>
      </c>
    </row>
    <row r="113">
      <c r="A113" s="0" t="inlineStr">
        <is>
          <t xml:space="preserve">Prayer regeneration potion(4)</t>
        </is>
      </c>
      <c r="B113" s="2">
        <v>30125</v>
      </c>
      <c r="C113" s="2">
        <v>69550</v>
      </c>
      <c r="D113" s="2">
        <v>68159</v>
      </c>
      <c r="E113" s="5" t="inlineStr">
        <is>
          <t xml:space="preserve">2026-09-15 03:03</t>
        </is>
      </c>
    </row>
    <row r="114">
      <c r="A114" s="0" t="inlineStr">
        <is>
          <t xml:space="preserve">Rainbow crab paste</t>
        </is>
      </c>
      <c r="B114" s="2">
        <v>31710</v>
      </c>
      <c r="C114" s="2">
        <v>1338</v>
      </c>
      <c r="D114" s="2">
        <v>1312</v>
      </c>
      <c r="E114" s="5" t="inlineStr">
        <is>
          <t xml:space="preserve">2026-09-15 03:03</t>
        </is>
      </c>
    </row>
    <row r="115">
      <c r="A115" s="0" t="inlineStr">
        <is>
          <t xml:space="preserve">ranarr potion (unf)</t>
        </is>
      </c>
      <c r="B115" s="2">
        <v>99</v>
      </c>
      <c r="C115" s="2">
        <v>6173</v>
      </c>
      <c r="D115" s="2">
        <v>6057</v>
      </c>
      <c r="E115" s="5" t="inlineStr">
        <is>
          <t xml:space="preserve">2026-09-13 11:34</t>
        </is>
      </c>
    </row>
    <row r="116">
      <c r="A116" s="0" t="inlineStr">
        <is>
          <t xml:space="preserve">Ranging potion(2)</t>
        </is>
      </c>
      <c r="B116" s="2">
        <v>171</v>
      </c>
      <c r="C116" s="2">
        <v>926</v>
      </c>
      <c r="D116" s="2">
        <v>908</v>
      </c>
      <c r="E116" s="5" t="inlineStr">
        <is>
          <t xml:space="preserve">2026-09-15 03:03</t>
        </is>
      </c>
    </row>
    <row r="117">
      <c r="A117" s="0" t="inlineStr">
        <is>
          <t xml:space="preserve">Ranging potion(4)</t>
        </is>
      </c>
      <c r="B117" s="2">
        <v>2444</v>
      </c>
      <c r="C117" s="2">
        <v>1753</v>
      </c>
      <c r="D117" s="2">
        <v>1718</v>
      </c>
      <c r="E117" s="5" t="inlineStr">
        <is>
          <t xml:space="preserve">2026-09-15 03:03</t>
        </is>
      </c>
    </row>
    <row r="118">
      <c r="A118" s="0" t="inlineStr">
        <is>
          <t xml:space="preserve">Red spiders' eggs</t>
        </is>
      </c>
      <c r="B118" s="2">
        <v>223</v>
      </c>
      <c r="C118" s="2">
        <v>184</v>
      </c>
      <c r="D118" s="2">
        <v>181</v>
      </c>
      <c r="E118" s="5" t="inlineStr">
        <is>
          <t xml:space="preserve">2026-09-15 03:03</t>
        </is>
      </c>
    </row>
    <row r="119">
      <c r="A119" s="0" t="inlineStr">
        <is>
          <t xml:space="preserve">Restore potion(2)</t>
        </is>
      </c>
      <c r="B119" s="2">
        <v>129</v>
      </c>
      <c r="C119" s="2">
        <v>44</v>
      </c>
      <c r="D119" s="2">
        <v>44</v>
      </c>
      <c r="E119" s="5" t="inlineStr">
        <is>
          <t xml:space="preserve">2026-09-15 03:03</t>
        </is>
      </c>
    </row>
    <row r="120">
      <c r="A120" s="0" t="inlineStr">
        <is>
          <t xml:space="preserve">Restore potion(4)</t>
        </is>
      </c>
      <c r="B120" s="2">
        <v>2430</v>
      </c>
      <c r="C120" s="2">
        <v>57</v>
      </c>
      <c r="D120" s="2">
        <v>56</v>
      </c>
      <c r="E120" s="5" t="inlineStr">
        <is>
          <t xml:space="preserve">2026-09-15 03:03</t>
        </is>
      </c>
    </row>
    <row r="121">
      <c r="A121" s="0" t="inlineStr">
        <is>
          <t xml:space="preserve">Sanfew serum(2)</t>
        </is>
      </c>
      <c r="B121" s="2">
        <v>10929</v>
      </c>
      <c r="C121" s="2">
        <v>8505</v>
      </c>
      <c r="D121" s="2">
        <v>8335</v>
      </c>
      <c r="E121" s="5" t="inlineStr">
        <is>
          <t xml:space="preserve">2026-09-15 03:03</t>
        </is>
      </c>
    </row>
    <row r="122">
      <c r="A122" s="0" t="inlineStr">
        <is>
          <t xml:space="preserve">Sanfew serum(4)</t>
        </is>
      </c>
      <c r="B122" s="2">
        <v>10925</v>
      </c>
      <c r="C122" s="2">
        <v>19479</v>
      </c>
      <c r="D122" s="2">
        <v>19090</v>
      </c>
      <c r="E122" s="5" t="inlineStr">
        <is>
          <t xml:space="preserve">2026-09-15 03:03</t>
        </is>
      </c>
    </row>
    <row r="123">
      <c r="A123" s="0" t="inlineStr">
        <is>
          <t xml:space="preserve">Saradomin brew(2)</t>
        </is>
      </c>
      <c r="B123" s="2">
        <v>6689</v>
      </c>
      <c r="C123" s="2">
        <v>3309</v>
      </c>
      <c r="D123" s="2">
        <v>3243</v>
      </c>
      <c r="E123" s="5" t="inlineStr">
        <is>
          <t xml:space="preserve">2026-09-15 03:03</t>
        </is>
      </c>
    </row>
    <row r="124">
      <c r="A124" s="0" t="inlineStr">
        <is>
          <t xml:space="preserve">Saradomin brew(4)</t>
        </is>
      </c>
      <c r="B124" s="2">
        <v>6685</v>
      </c>
      <c r="C124" s="2">
        <v>6922</v>
      </c>
      <c r="D124" s="2">
        <v>6784</v>
      </c>
      <c r="E124" s="5" t="inlineStr">
        <is>
          <t xml:space="preserve">2026-09-15 03:03</t>
        </is>
      </c>
    </row>
    <row r="125">
      <c r="A125" s="0" t="inlineStr">
        <is>
          <t xml:space="preserve">Serum 207 (2)</t>
        </is>
      </c>
      <c r="B125" s="2">
        <v>3412</v>
      </c>
      <c r="C125" s="2">
        <v>9</v>
      </c>
      <c r="D125" s="2">
        <v>9</v>
      </c>
      <c r="E125" s="5" t="inlineStr">
        <is>
          <t xml:space="preserve">2026-09-15 03:03</t>
        </is>
      </c>
    </row>
    <row r="126">
      <c r="A126" s="0" t="inlineStr">
        <is>
          <t xml:space="preserve">Serum 207 (4)</t>
        </is>
      </c>
      <c r="B126" s="2">
        <v>3408</v>
      </c>
      <c r="C126" s="2">
        <v>34</v>
      </c>
      <c r="D126" s="2">
        <v>34</v>
      </c>
      <c r="E126" s="5" t="inlineStr">
        <is>
          <t xml:space="preserve">2026-09-15 03:03</t>
        </is>
      </c>
    </row>
    <row r="127">
      <c r="A127" s="0" t="inlineStr">
        <is>
          <t xml:space="preserve">Silver dust</t>
        </is>
      </c>
      <c r="B127" s="2">
        <v>7650</v>
      </c>
      <c r="C127" s="2">
        <v>762</v>
      </c>
      <c r="D127" s="2">
        <v>747</v>
      </c>
      <c r="E127" s="5" t="inlineStr">
        <is>
          <t xml:space="preserve">2026-09-15 03:03</t>
        </is>
      </c>
    </row>
    <row r="128">
      <c r="A128" s="0" t="inlineStr">
        <is>
          <t xml:space="preserve">snapdragon potion (unf)</t>
        </is>
      </c>
      <c r="B128" s="2">
        <v>3004</v>
      </c>
      <c r="C128" s="2">
        <v>7900</v>
      </c>
      <c r="D128" s="2">
        <v>7782</v>
      </c>
      <c r="E128" s="5" t="inlineStr">
        <is>
          <t xml:space="preserve">2026-09-13 11:34</t>
        </is>
      </c>
    </row>
    <row r="129">
      <c r="A129" s="0" t="inlineStr">
        <is>
          <t xml:space="preserve">Snape grass</t>
        </is>
      </c>
      <c r="B129" s="2">
        <v>231</v>
      </c>
      <c r="C129" s="2">
        <v>997</v>
      </c>
      <c r="D129" s="2">
        <v>978</v>
      </c>
      <c r="E129" s="5" t="inlineStr">
        <is>
          <t xml:space="preserve">2026-09-15 03:03</t>
        </is>
      </c>
    </row>
    <row r="130">
      <c r="A130" s="0" t="inlineStr">
        <is>
          <t xml:space="preserve">Squid paste</t>
        </is>
      </c>
      <c r="B130" s="2">
        <v>31569</v>
      </c>
      <c r="C130" s="2">
        <v>1211</v>
      </c>
      <c r="D130" s="2">
        <v>1187</v>
      </c>
      <c r="E130" s="5" t="inlineStr">
        <is>
          <t xml:space="preserve">2026-09-15 03:03</t>
        </is>
      </c>
    </row>
    <row r="131">
      <c r="A131" s="0" t="inlineStr">
        <is>
          <t xml:space="preserve">Stamina potion(2)</t>
        </is>
      </c>
      <c r="B131" s="2">
        <v>12629</v>
      </c>
      <c r="C131" s="2">
        <v>1863</v>
      </c>
      <c r="D131" s="2">
        <v>1826</v>
      </c>
      <c r="E131" s="5" t="inlineStr">
        <is>
          <t xml:space="preserve">2026-09-15 03:03</t>
        </is>
      </c>
    </row>
    <row r="132">
      <c r="A132" s="0" t="inlineStr">
        <is>
          <t xml:space="preserve">Stamina potion(4)</t>
        </is>
      </c>
      <c r="B132" s="2">
        <v>12625</v>
      </c>
      <c r="C132" s="2">
        <v>4071</v>
      </c>
      <c r="D132" s="2">
        <v>3990</v>
      </c>
      <c r="E132" s="5" t="inlineStr">
        <is>
          <t xml:space="preserve">2026-09-15 03:03</t>
        </is>
      </c>
    </row>
    <row r="133">
      <c r="A133" s="0" t="inlineStr">
        <is>
          <t xml:space="preserve">Strength potion(2)</t>
        </is>
      </c>
      <c r="B133" s="2">
        <v>117</v>
      </c>
      <c r="C133" s="2">
        <v>43</v>
      </c>
      <c r="D133" s="2">
        <v>43</v>
      </c>
      <c r="E133" s="5" t="inlineStr">
        <is>
          <t xml:space="preserve">2026-09-15 03:03</t>
        </is>
      </c>
    </row>
    <row r="134">
      <c r="A134" s="0" t="inlineStr">
        <is>
          <t xml:space="preserve">Strength potion(4)</t>
        </is>
      </c>
      <c r="B134" s="2">
        <v>113</v>
      </c>
      <c r="C134" s="2">
        <v>108</v>
      </c>
      <c r="D134" s="2">
        <v>106</v>
      </c>
      <c r="E134" s="5" t="inlineStr">
        <is>
          <t xml:space="preserve">2026-09-15 03:03</t>
        </is>
      </c>
    </row>
    <row r="135">
      <c r="A135" s="0" t="inlineStr">
        <is>
          <t xml:space="preserve">Super antifire potion(2)</t>
        </is>
      </c>
      <c r="B135" s="2">
        <v>21984</v>
      </c>
      <c r="C135" s="2">
        <v>10580</v>
      </c>
      <c r="D135" s="2">
        <v>10369</v>
      </c>
      <c r="E135" s="5" t="inlineStr">
        <is>
          <t xml:space="preserve">2026-09-15 03:03</t>
        </is>
      </c>
    </row>
    <row r="136">
      <c r="A136" s="0" t="inlineStr">
        <is>
          <t xml:space="preserve">Super antifire potion(4)</t>
        </is>
      </c>
      <c r="B136" s="2">
        <v>21978</v>
      </c>
      <c r="C136" s="2">
        <v>19346</v>
      </c>
      <c r="D136" s="2">
        <v>18960</v>
      </c>
      <c r="E136" s="5" t="inlineStr">
        <is>
          <t xml:space="preserve">2026-09-15 03:03</t>
        </is>
      </c>
    </row>
    <row r="137">
      <c r="A137" s="0" t="inlineStr">
        <is>
          <t xml:space="preserve">Super attack(2)</t>
        </is>
      </c>
      <c r="B137" s="2">
        <v>147</v>
      </c>
      <c r="C137" s="2">
        <v>924</v>
      </c>
      <c r="D137" s="2">
        <v>906</v>
      </c>
      <c r="E137" s="5" t="inlineStr">
        <is>
          <t xml:space="preserve">2026-09-15 03:03</t>
        </is>
      </c>
    </row>
    <row r="138">
      <c r="A138" s="0" t="inlineStr">
        <is>
          <t xml:space="preserve">Super attack(4)</t>
        </is>
      </c>
      <c r="B138" s="2">
        <v>2436</v>
      </c>
      <c r="C138" s="2">
        <v>1923</v>
      </c>
      <c r="D138" s="2">
        <v>1885</v>
      </c>
      <c r="E138" s="5" t="inlineStr">
        <is>
          <t xml:space="preserve">2026-09-15 03:03</t>
        </is>
      </c>
    </row>
    <row r="139">
      <c r="A139" s="0" t="inlineStr">
        <is>
          <t xml:space="preserve">Super combat potion(2)</t>
        </is>
      </c>
      <c r="B139" s="2">
        <v>12699</v>
      </c>
      <c r="C139" s="2">
        <v>6255</v>
      </c>
      <c r="D139" s="2">
        <v>6130</v>
      </c>
      <c r="E139" s="5" t="inlineStr">
        <is>
          <t xml:space="preserve">2026-09-15 03:03</t>
        </is>
      </c>
    </row>
    <row r="140">
      <c r="A140" s="0" t="inlineStr">
        <is>
          <t xml:space="preserve">Super combat potion(4)</t>
        </is>
      </c>
      <c r="B140" s="2">
        <v>12695</v>
      </c>
      <c r="C140" s="2">
        <v>12212</v>
      </c>
      <c r="D140" s="2">
        <v>11968</v>
      </c>
      <c r="E140" s="5" t="inlineStr">
        <is>
          <t xml:space="preserve">2026-09-15 03:03</t>
        </is>
      </c>
    </row>
    <row r="141">
      <c r="A141" s="0" t="inlineStr">
        <is>
          <t xml:space="preserve">Super defence(2)</t>
        </is>
      </c>
      <c r="B141" s="2">
        <v>165</v>
      </c>
      <c r="C141" s="2">
        <v>1568</v>
      </c>
      <c r="D141" s="2">
        <v>1537</v>
      </c>
      <c r="E141" s="5" t="inlineStr">
        <is>
          <t xml:space="preserve">2026-09-15 03:03</t>
        </is>
      </c>
    </row>
    <row r="142">
      <c r="A142" s="0" t="inlineStr">
        <is>
          <t xml:space="preserve">Super defence(4)</t>
        </is>
      </c>
      <c r="B142" s="2">
        <v>2442</v>
      </c>
      <c r="C142" s="2">
        <v>3135</v>
      </c>
      <c r="D142" s="2">
        <v>3073</v>
      </c>
      <c r="E142" s="5" t="inlineStr">
        <is>
          <t xml:space="preserve">2026-09-15 03:03</t>
        </is>
      </c>
    </row>
    <row r="143">
      <c r="A143" s="0" t="inlineStr">
        <is>
          <t xml:space="preserve">Super energy(2)</t>
        </is>
      </c>
      <c r="B143" s="2">
        <v>3020</v>
      </c>
      <c r="C143" s="2">
        <v>1758</v>
      </c>
      <c r="D143" s="2">
        <v>1723</v>
      </c>
      <c r="E143" s="5" t="inlineStr">
        <is>
          <t xml:space="preserve">2026-09-15 03:03</t>
        </is>
      </c>
    </row>
    <row r="144">
      <c r="A144" s="0" t="inlineStr">
        <is>
          <t xml:space="preserve">Super energy(4)</t>
        </is>
      </c>
      <c r="B144" s="2">
        <v>3016</v>
      </c>
      <c r="C144" s="2">
        <v>2618</v>
      </c>
      <c r="D144" s="2">
        <v>2566</v>
      </c>
      <c r="E144" s="5" t="inlineStr">
        <is>
          <t xml:space="preserve">2026-09-15 03:03</t>
        </is>
      </c>
    </row>
    <row r="145">
      <c r="A145" s="0" t="inlineStr">
        <is>
          <t xml:space="preserve">Super fishing potion(2)</t>
        </is>
      </c>
      <c r="B145" s="2">
        <v>31608</v>
      </c>
      <c r="C145" s="2">
        <v>2093</v>
      </c>
      <c r="D145" s="2">
        <v>2052</v>
      </c>
      <c r="E145" s="5" t="inlineStr">
        <is>
          <t xml:space="preserve">2026-09-15 03:03</t>
        </is>
      </c>
    </row>
    <row r="146">
      <c r="A146" s="0" t="inlineStr">
        <is>
          <t xml:space="preserve">Super fishing potion(4)</t>
        </is>
      </c>
      <c r="B146" s="2">
        <v>31602</v>
      </c>
      <c r="C146" s="2">
        <v>1913</v>
      </c>
      <c r="D146" s="2">
        <v>1875</v>
      </c>
      <c r="E146" s="5" t="inlineStr">
        <is>
          <t xml:space="preserve">2026-09-15 03:03</t>
        </is>
      </c>
    </row>
    <row r="147">
      <c r="A147" s="0" t="inlineStr">
        <is>
          <t xml:space="preserve">Super hunter potion(2)</t>
        </is>
      </c>
      <c r="B147" s="2">
        <v>31632</v>
      </c>
      <c r="C147" s="2">
        <v>2210</v>
      </c>
      <c r="D147" s="2">
        <v>2166</v>
      </c>
      <c r="E147" s="5" t="inlineStr">
        <is>
          <t xml:space="preserve">2026-09-15 03:03</t>
        </is>
      </c>
    </row>
    <row r="148">
      <c r="A148" s="0" t="inlineStr">
        <is>
          <t xml:space="preserve">Super hunter potion(4)</t>
        </is>
      </c>
      <c r="B148" s="2">
        <v>31626</v>
      </c>
      <c r="C148" s="2">
        <v>775</v>
      </c>
      <c r="D148" s="2">
        <v>760</v>
      </c>
      <c r="E148" s="5" t="inlineStr">
        <is>
          <t xml:space="preserve">2026-09-15 03:03</t>
        </is>
      </c>
    </row>
    <row r="149">
      <c r="A149" s="0" t="inlineStr">
        <is>
          <t xml:space="preserve">Super restore(2)</t>
        </is>
      </c>
      <c r="B149" s="2">
        <v>3028</v>
      </c>
      <c r="C149" s="2">
        <v>4886</v>
      </c>
      <c r="D149" s="2">
        <v>4789</v>
      </c>
      <c r="E149" s="5" t="inlineStr">
        <is>
          <t xml:space="preserve">2026-09-15 03:03</t>
        </is>
      </c>
    </row>
    <row r="150">
      <c r="A150" s="0" t="inlineStr">
        <is>
          <t xml:space="preserve">Super restore(4)</t>
        </is>
      </c>
      <c r="B150" s="2">
        <v>3024</v>
      </c>
      <c r="C150" s="2">
        <v>10010</v>
      </c>
      <c r="D150" s="2">
        <v>9810</v>
      </c>
      <c r="E150" s="5" t="inlineStr">
        <is>
          <t xml:space="preserve">2026-09-15 03:03</t>
        </is>
      </c>
    </row>
    <row r="151">
      <c r="A151" s="0" t="inlineStr">
        <is>
          <t xml:space="preserve">Super strength(2)</t>
        </is>
      </c>
      <c r="B151" s="2">
        <v>159</v>
      </c>
      <c r="C151" s="2">
        <v>1480</v>
      </c>
      <c r="D151" s="2">
        <v>1451</v>
      </c>
      <c r="E151" s="5" t="inlineStr">
        <is>
          <t xml:space="preserve">2026-09-15 03:03</t>
        </is>
      </c>
    </row>
    <row r="152">
      <c r="A152" s="0" t="inlineStr">
        <is>
          <t xml:space="preserve">Super strength(4)</t>
        </is>
      </c>
      <c r="B152" s="2">
        <v>2440</v>
      </c>
      <c r="C152" s="2">
        <v>3101</v>
      </c>
      <c r="D152" s="2">
        <v>3039</v>
      </c>
      <c r="E152" s="5" t="inlineStr">
        <is>
          <t xml:space="preserve">2026-09-15 03:03</t>
        </is>
      </c>
    </row>
    <row r="153">
      <c r="A153" s="0" t="inlineStr">
        <is>
          <t xml:space="preserve">Superantipoison(2)</t>
        </is>
      </c>
      <c r="B153" s="2">
        <v>183</v>
      </c>
      <c r="C153" s="2">
        <v>687</v>
      </c>
      <c r="D153" s="2">
        <v>674</v>
      </c>
      <c r="E153" s="5" t="inlineStr">
        <is>
          <t xml:space="preserve">2026-09-15 03:03</t>
        </is>
      </c>
    </row>
    <row r="154">
      <c r="A154" s="0" t="inlineStr">
        <is>
          <t xml:space="preserve">Superantipoison(4)</t>
        </is>
      </c>
      <c r="B154" s="2">
        <v>2448</v>
      </c>
      <c r="C154" s="2">
        <v>1379</v>
      </c>
      <c r="D154" s="2">
        <v>1352</v>
      </c>
      <c r="E154" s="5" t="inlineStr">
        <is>
          <t xml:space="preserve">2026-09-15 03:03</t>
        </is>
      </c>
    </row>
    <row r="155">
      <c r="A155" s="0" t="inlineStr">
        <is>
          <t xml:space="preserve">Surge potion(2)</t>
        </is>
      </c>
      <c r="B155" s="2">
        <v>30881</v>
      </c>
      <c r="C155" s="2"/>
      <c r="D155" s="2"/>
      <c r="E155" s="5" t="inlineStr">
        <is>
          <t xml:space="preserve"/>
        </is>
      </c>
    </row>
    <row r="156">
      <c r="A156" s="0" t="inlineStr">
        <is>
          <t xml:space="preserve">tarromin potion (unf)</t>
        </is>
      </c>
      <c r="B156" s="2">
        <v>95</v>
      </c>
      <c r="C156" s="2">
        <v>484</v>
      </c>
      <c r="D156" s="2">
        <v>550</v>
      </c>
      <c r="E156" s="5" t="inlineStr">
        <is>
          <t xml:space="preserve">2026-09-13 11:34</t>
        </is>
      </c>
    </row>
    <row r="157">
      <c r="A157" s="0" t="inlineStr">
        <is>
          <t xml:space="preserve">Toad's legs</t>
        </is>
      </c>
      <c r="B157" s="2">
        <v>2152</v>
      </c>
      <c r="C157" s="2">
        <v>327</v>
      </c>
      <c r="D157" s="2">
        <v>321</v>
      </c>
      <c r="E157" s="5" t="inlineStr">
        <is>
          <t xml:space="preserve">2026-09-15 03:03</t>
        </is>
      </c>
    </row>
    <row r="158">
      <c r="A158" s="0" t="inlineStr">
        <is>
          <t xml:space="preserve">Toadflax</t>
        </is>
      </c>
      <c r="B158" s="2">
        <v>2998</v>
      </c>
      <c r="C158" s="2">
        <v>2289</v>
      </c>
      <c r="D158" s="2">
        <v>2244</v>
      </c>
      <c r="E158" s="5" t="inlineStr">
        <is>
          <t xml:space="preserve">2026-09-15 03:03</t>
        </is>
      </c>
    </row>
    <row r="159">
      <c r="A159" s="0" t="inlineStr">
        <is>
          <t xml:space="preserve">toadflax potion (unf)</t>
        </is>
      </c>
      <c r="B159" s="2">
        <v>3002</v>
      </c>
      <c r="C159" s="2">
        <v>2590</v>
      </c>
      <c r="D159" s="2">
        <v>2539</v>
      </c>
      <c r="E159" s="5" t="inlineStr">
        <is>
          <t xml:space="preserve">2026-09-13 11:34</t>
        </is>
      </c>
    </row>
    <row r="160">
      <c r="A160" s="0" t="inlineStr">
        <is>
          <t xml:space="preserve">Torstol</t>
        </is>
      </c>
      <c r="B160" s="2">
        <v>269</v>
      </c>
      <c r="C160" s="2">
        <v>3737</v>
      </c>
      <c r="D160" s="2">
        <v>3663</v>
      </c>
      <c r="E160" s="5" t="inlineStr">
        <is>
          <t xml:space="preserve">2026-09-15 03:03</t>
        </is>
      </c>
    </row>
    <row r="161">
      <c r="A161" s="0" t="inlineStr">
        <is>
          <t xml:space="preserve">torstol potion (unf)</t>
        </is>
      </c>
      <c r="B161" s="2">
        <v>111</v>
      </c>
      <c r="C161" s="2">
        <v>3919</v>
      </c>
      <c r="D161" s="2">
        <v>3885</v>
      </c>
      <c r="E161" s="5" t="inlineStr">
        <is>
          <t xml:space="preserve">2026-09-13 11:34</t>
        </is>
      </c>
    </row>
    <row r="162">
      <c r="A162" s="0" t="inlineStr">
        <is>
          <t xml:space="preserve">umbral potion (unf)</t>
        </is>
      </c>
      <c r="B162" s="2">
        <v>31668</v>
      </c>
      <c r="C162" s="2">
        <v>2742</v>
      </c>
      <c r="D162" s="2">
        <v>2659</v>
      </c>
      <c r="E162" s="5" t="inlineStr">
        <is>
          <t xml:space="preserve">2026-09-13 11:34</t>
        </is>
      </c>
    </row>
    <row r="163">
      <c r="A163" s="0" t="inlineStr">
        <is>
          <t xml:space="preserve">Unicorn horn dust</t>
        </is>
      </c>
      <c r="B163" s="2">
        <v>235</v>
      </c>
      <c r="C163" s="2">
        <v>699</v>
      </c>
      <c r="D163" s="2">
        <v>686</v>
      </c>
      <c r="E163" s="5" t="inlineStr">
        <is>
          <t xml:space="preserve">2026-09-15 03:03</t>
        </is>
      </c>
    </row>
    <row r="164">
      <c r="A164" s="0" t="inlineStr">
        <is>
          <t xml:space="preserve">Vial of blood</t>
        </is>
      </c>
      <c r="B164" s="2">
        <v>22446</v>
      </c>
      <c r="C164" s="2">
        <v>8639</v>
      </c>
      <c r="D164" s="2">
        <v>8467</v>
      </c>
      <c r="E164" s="5" t="inlineStr">
        <is>
          <t xml:space="preserve">2026-09-15 03:03</t>
        </is>
      </c>
    </row>
    <row r="165">
      <c r="A165" s="0" t="inlineStr">
        <is>
          <t xml:space="preserve">Volcanic ash</t>
        </is>
      </c>
      <c r="B165" s="2">
        <v>21622</v>
      </c>
      <c r="C165" s="2">
        <v>165</v>
      </c>
      <c r="D165" s="2">
        <v>162</v>
      </c>
      <c r="E165" s="5" t="inlineStr">
        <is>
          <t xml:space="preserve">2026-09-15 03:03</t>
        </is>
      </c>
    </row>
    <row r="166">
      <c r="A166" s="0" t="inlineStr">
        <is>
          <t xml:space="preserve">Weapon poison</t>
        </is>
      </c>
      <c r="B166" s="2">
        <v>187</v>
      </c>
      <c r="C166" s="2">
        <v>285</v>
      </c>
      <c r="D166" s="2">
        <v>280</v>
      </c>
      <c r="E166" s="5" t="inlineStr">
        <is>
          <t xml:space="preserve">2026-09-15 03:03</t>
        </is>
      </c>
    </row>
    <row r="167">
      <c r="A167" s="0" t="inlineStr">
        <is>
          <t xml:space="preserve">Weapon poison(+)</t>
        </is>
      </c>
      <c r="B167" s="2">
        <v>5937</v>
      </c>
      <c r="C167" s="2">
        <v>916</v>
      </c>
      <c r="D167" s="2">
        <v>898</v>
      </c>
      <c r="E167" s="5" t="inlineStr">
        <is>
          <t xml:space="preserve">2026-09-15 03:03</t>
        </is>
      </c>
    </row>
    <row r="168">
      <c r="A168" s="0" t="inlineStr">
        <is>
          <t xml:space="preserve">White berries</t>
        </is>
      </c>
      <c r="B168" s="2">
        <v>239</v>
      </c>
      <c r="C168" s="2">
        <v>675</v>
      </c>
      <c r="D168" s="2">
        <v>662</v>
      </c>
      <c r="E168" s="5" t="inlineStr">
        <is>
          <t xml:space="preserve">2026-09-15 03:03</t>
        </is>
      </c>
    </row>
    <row r="169">
      <c r="A169" s="0" t="inlineStr">
        <is>
          <t xml:space="preserve">Wine of Zamorak</t>
        </is>
      </c>
      <c r="B169" s="2">
        <v>245</v>
      </c>
      <c r="C169" s="2">
        <v>924</v>
      </c>
      <c r="D169" s="2">
        <v>906</v>
      </c>
      <c r="E169" s="5" t="inlineStr">
        <is>
          <t xml:space="preserve">2026-09-15 03:03</t>
        </is>
      </c>
    </row>
    <row r="170">
      <c r="A170" s="0" t="inlineStr">
        <is>
          <t xml:space="preserve">Yellow fin</t>
        </is>
      </c>
      <c r="B170" s="2">
        <v>32360</v>
      </c>
      <c r="C170" s="2">
        <v>187</v>
      </c>
      <c r="D170" s="2">
        <v>184</v>
      </c>
      <c r="E170" s="5" t="inlineStr">
        <is>
          <t xml:space="preserve">2026-09-15 03:03</t>
        </is>
      </c>
    </row>
    <row r="171">
      <c r="A171" s="0" t="inlineStr">
        <is>
          <t xml:space="preserve">Yew roots</t>
        </is>
      </c>
      <c r="B171" s="2">
        <v>6049</v>
      </c>
      <c r="C171" s="2">
        <v>71</v>
      </c>
      <c r="D171" s="2">
        <v>70</v>
      </c>
      <c r="E171" s="5" t="inlineStr">
        <is>
          <t xml:space="preserve">2026-09-15 03:03</t>
        </is>
      </c>
    </row>
    <row r="172">
      <c r="A172" s="0" t="inlineStr">
        <is>
          <t xml:space="preserve">Zamorak brew(2)</t>
        </is>
      </c>
      <c r="B172" s="2">
        <v>191</v>
      </c>
      <c r="C172" s="2">
        <v>516</v>
      </c>
      <c r="D172" s="2">
        <v>506</v>
      </c>
      <c r="E172" s="5" t="inlineStr">
        <is>
          <t xml:space="preserve">2026-09-15 03:03</t>
        </is>
      </c>
    </row>
    <row r="173">
      <c r="A173" s="0" t="inlineStr">
        <is>
          <t xml:space="preserve">Zamorak brew(4)</t>
        </is>
      </c>
      <c r="B173" s="2">
        <v>2450</v>
      </c>
      <c r="C173" s="2">
        <v>611</v>
      </c>
      <c r="D173" s="2">
        <v>599</v>
      </c>
      <c r="E173" s="5" t="inlineStr">
        <is>
          <t xml:space="preserve">2026-09-15 03:03</t>
        </is>
      </c>
    </row>
    <row r="174">
      <c r="A174" s="0" t="inlineStr">
        <is>
          <t xml:space="preserve">Zulrah's scales</t>
        </is>
      </c>
      <c r="B174" s="2">
        <v>12934</v>
      </c>
      <c r="C174" s="2">
        <v>153</v>
      </c>
      <c r="D174" s="2">
        <v>150</v>
      </c>
      <c r="E174" s="5" t="inlineStr">
        <is>
          <t xml:space="preserve">2026-09-15 03:03</t>
        </is>
      </c>
    </row>
  </sheetData>
</worksheet>
</file>